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配置一覧" sheetId="1" state="visible" r:id="rId3"/>
    <sheet name="市町村別" sheetId="2" state="visible" r:id="rId4"/>
    <sheet name="センサー仕様" sheetId="3" state="visible" r:id="rId5"/>
    <sheet name="前提と注記" sheetId="4" state="visible" r:id="rId6"/>
  </sheets>
  <definedNames>
    <definedName function="false" hidden="true" localSheetId="0" name="_xlnm._FilterDatabase" vbProcedure="false">配置一覧!$A$4:$I$90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WenQuanYi Zen Hei"/>
            <family val="2"/>
          </rPr>
          <t xml:space="preserve">青字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最適化の結果（</t>
        </r>
        <r>
          <rPr>
            <sz val="10"/>
            <rFont val="Arial"/>
            <family val="2"/>
          </rPr>
          <t xml:space="preserve">MILP</t>
        </r>
        <r>
          <rPr>
            <sz val="10"/>
            <rFont val="WenQuanYi Zen Hei"/>
            <family val="2"/>
          </rPr>
          <t xml:space="preserve">、</t>
        </r>
        <r>
          <rPr>
            <sz val="10"/>
            <rFont val="Arial"/>
            <family val="2"/>
          </rPr>
          <t xml:space="preserve">200 m </t>
        </r>
        <r>
          <rPr>
            <sz val="10"/>
            <rFont val="WenQuanYi Zen Hei"/>
            <family val="2"/>
          </rPr>
          <t xml:space="preserve">マス）。種類を書き換えると、コストと市町村別の集計が自動で変わります（面的充足率は再計算されません）。</t>
        </r>
      </text>
    </comment>
    <comment ref="E91" authorId="0">
      <text>
        <r>
          <rPr>
            <sz val="10"/>
            <rFont val="WenQuanYi Zen Hei"/>
            <family val="2"/>
          </rPr>
          <t xml:space="preserve">置いたセンサーの台数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3" authorId="0">
      <text>
        <r>
          <rPr>
            <sz val="10"/>
            <rFont val="WenQuanYi Zen Hei"/>
            <family val="2"/>
          </rPr>
          <t xml:space="preserve">目標値は課題データ（</t>
        </r>
        <r>
          <rPr>
            <sz val="10"/>
            <rFont val="Arial"/>
            <family val="2"/>
          </rPr>
          <t xml:space="preserve">data_transformed.json</t>
        </r>
        <r>
          <rPr>
            <sz val="10"/>
            <rFont val="WenQuanYi Zen Hei"/>
            <family val="2"/>
          </rPr>
          <t xml:space="preserve">）の値です。</t>
        </r>
      </text>
    </comment>
    <comment ref="L3" authorId="0">
      <text>
        <r>
          <rPr>
            <sz val="10"/>
            <rFont val="WenQuanYi Zen Hei"/>
            <family val="2"/>
          </rPr>
          <t xml:space="preserve">面的充足率は、配置を固定したまま </t>
        </r>
        <r>
          <rPr>
            <sz val="10"/>
            <rFont val="Arial"/>
            <family val="2"/>
          </rPr>
          <t xml:space="preserve">Python</t>
        </r>
        <r>
          <rPr>
            <sz val="10"/>
            <rFont val="WenQuanYi Zen Hei"/>
            <family val="2"/>
          </rPr>
          <t xml:space="preserve">（</t>
        </r>
        <r>
          <rPr>
            <sz val="10"/>
            <rFont val="Arial"/>
            <family val="2"/>
          </rPr>
          <t xml:space="preserve">placement/common.py </t>
        </r>
        <r>
          <rPr>
            <sz val="10"/>
            <rFont val="WenQuanYi Zen Hei"/>
            <family val="2"/>
          </rPr>
          <t xml:space="preserve">の </t>
        </r>
        <r>
          <rPr>
            <sz val="10"/>
            <rFont val="Arial"/>
            <family val="2"/>
          </rPr>
          <t xml:space="preserve">evaluate</t>
        </r>
        <r>
          <rPr>
            <sz val="10"/>
            <rFont val="WenQuanYi Zen Hei"/>
            <family val="2"/>
          </rPr>
          <t xml:space="preserve">）で </t>
        </r>
        <r>
          <rPr>
            <sz val="10"/>
            <rFont val="Arial"/>
            <family val="2"/>
          </rPr>
          <t xml:space="preserve">200 m / 100 m </t>
        </r>
        <r>
          <rPr>
            <sz val="10"/>
            <rFont val="WenQuanYi Zen Hei"/>
            <family val="2"/>
          </rPr>
          <t xml:space="preserve">マスに分けて数えた値です。隣の市町村に置いたセンサーの円も数えています。配置一覧を書き換えても、この列は変わりません。</t>
        </r>
      </text>
    </comment>
  </commentList>
</comments>
</file>

<file path=xl/sharedStrings.xml><?xml version="1.0" encoding="utf-8"?>
<sst xmlns="http://schemas.openxmlformats.org/spreadsheetml/2006/main" count="329" uniqueCount="148">
  <si>
    <r>
      <rPr>
        <b val="true"/>
        <sz val="14"/>
        <rFont val="WenQuanYi Zen Hei"/>
        <family val="2"/>
      </rPr>
      <t xml:space="preserve">最適配置の一覧（</t>
    </r>
    <r>
      <rPr>
        <b val="true"/>
        <sz val="14"/>
        <rFont val="Arial"/>
        <family val="0"/>
        <charset val="1"/>
      </rPr>
      <t xml:space="preserve">200 m </t>
    </r>
    <r>
      <rPr>
        <b val="true"/>
        <sz val="14"/>
        <rFont val="WenQuanYi Zen Hei"/>
        <family val="2"/>
      </rPr>
      <t xml:space="preserve">マスで解いた </t>
    </r>
    <r>
      <rPr>
        <b val="true"/>
        <sz val="14"/>
        <rFont val="Arial"/>
        <family val="0"/>
        <charset val="1"/>
      </rPr>
      <t xml:space="preserve">MILP </t>
    </r>
    <r>
      <rPr>
        <b val="true"/>
        <sz val="14"/>
        <rFont val="WenQuanYi Zen Hei"/>
        <family val="2"/>
      </rPr>
      <t xml:space="preserve">の最適解、総コスト最小）</t>
    </r>
  </si>
  <si>
    <r>
      <rPr>
        <i val="true"/>
        <sz val="9"/>
        <rFont val="Arial"/>
        <family val="0"/>
        <charset val="1"/>
      </rPr>
      <t xml:space="preserve">86 </t>
    </r>
    <r>
      <rPr>
        <i val="true"/>
        <sz val="9"/>
        <rFont val="WenQuanYi Zen Hei"/>
        <family val="2"/>
      </rPr>
      <t xml:space="preserve">候補地すべて。種類が「なし」の候補地には置きません。座標は課題データ（</t>
    </r>
    <r>
      <rPr>
        <i val="true"/>
        <sz val="9"/>
        <rFont val="Arial"/>
        <family val="0"/>
        <charset val="1"/>
      </rPr>
      <t xml:space="preserve">data_transformed.json</t>
    </r>
    <r>
      <rPr>
        <i val="true"/>
        <sz val="9"/>
        <rFont val="WenQuanYi Zen Hei"/>
        <family val="2"/>
      </rPr>
      <t xml:space="preserve">）の値 </t>
    </r>
    <r>
      <rPr>
        <i val="true"/>
        <sz val="9"/>
        <rFont val="Arial"/>
        <family val="0"/>
        <charset val="1"/>
      </rPr>
      <t xml:space="preserve">[m]</t>
    </r>
    <r>
      <rPr>
        <i val="true"/>
        <sz val="9"/>
        <rFont val="WenQuanYi Zen Hei"/>
        <family val="2"/>
      </rPr>
      <t xml:space="preserve">。</t>
    </r>
  </si>
  <si>
    <r>
      <rPr>
        <b val="true"/>
        <sz val="10"/>
        <color rgb="FFFFFFFF"/>
        <rFont val="WenQuanYi Zen Hei"/>
        <family val="2"/>
      </rPr>
      <t xml:space="preserve">候補地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</si>
  <si>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市町村</t>
  </si>
  <si>
    <r>
      <rPr>
        <b val="true"/>
        <sz val="10"/>
        <color rgb="FFFFFFFF"/>
        <rFont val="Arial"/>
        <family val="0"/>
        <charset val="1"/>
      </rPr>
      <t xml:space="preserve">x </t>
    </r>
    <r>
      <rPr>
        <b val="true"/>
        <sz val="10"/>
        <color rgb="FFFFFFFF"/>
        <rFont val="WenQuanYi Zen Hei"/>
        <family val="2"/>
      </rPr>
      <t xml:space="preserve">座標 </t>
    </r>
    <r>
      <rPr>
        <b val="true"/>
        <sz val="10"/>
        <color rgb="FFFFFFFF"/>
        <rFont val="Arial"/>
        <family val="0"/>
        <charset val="1"/>
      </rPr>
      <t xml:space="preserve">(m)</t>
    </r>
  </si>
  <si>
    <r>
      <rPr>
        <b val="true"/>
        <sz val="10"/>
        <color rgb="FFFFFFFF"/>
        <rFont val="Arial"/>
        <family val="0"/>
        <charset val="1"/>
      </rPr>
      <t xml:space="preserve">y </t>
    </r>
    <r>
      <rPr>
        <b val="true"/>
        <sz val="10"/>
        <color rgb="FFFFFFFF"/>
        <rFont val="WenQuanYi Zen Hei"/>
        <family val="2"/>
      </rPr>
      <t xml:space="preserve">座標 </t>
    </r>
    <r>
      <rPr>
        <b val="true"/>
        <sz val="10"/>
        <color rgb="FFFFFFFF"/>
        <rFont val="Arial"/>
        <family val="0"/>
        <charset val="1"/>
      </rPr>
      <t xml:space="preserve">(m)</t>
    </r>
  </si>
  <si>
    <t xml:space="preserve">置くセンサー</t>
  </si>
  <si>
    <t xml:space="preserve">コスト</t>
  </si>
  <si>
    <r>
      <rPr>
        <b val="true"/>
        <sz val="10"/>
        <color rgb="FFFFFFFF"/>
        <rFont val="WenQuanYi Zen Hei"/>
        <family val="2"/>
      </rPr>
      <t xml:space="preserve">有効半径 </t>
    </r>
    <r>
      <rPr>
        <b val="true"/>
        <sz val="10"/>
        <color rgb="FFFFFFFF"/>
        <rFont val="Arial"/>
        <family val="0"/>
        <charset val="1"/>
      </rPr>
      <t xml:space="preserve">(km)</t>
    </r>
  </si>
  <si>
    <r>
      <rPr>
        <b val="true"/>
        <sz val="10"/>
        <color rgb="FFFFFFFF"/>
        <rFont val="Arial"/>
        <family val="0"/>
        <charset val="1"/>
      </rPr>
      <t xml:space="preserve">α</t>
    </r>
    <r>
      <rPr>
        <b val="true"/>
        <sz val="10"/>
        <color rgb="FFFFFFFF"/>
        <rFont val="WenQuanYi Zen Hei"/>
        <family val="2"/>
      </rPr>
      <t xml:space="preserve">出力</t>
    </r>
  </si>
  <si>
    <r>
      <rPr>
        <b val="true"/>
        <sz val="10"/>
        <color rgb="FFFFFFFF"/>
        <rFont val="Arial"/>
        <family val="0"/>
        <charset val="1"/>
      </rPr>
      <t xml:space="preserve">β</t>
    </r>
    <r>
      <rPr>
        <b val="true"/>
        <sz val="10"/>
        <color rgb="FFFFFFFF"/>
        <rFont val="WenQuanYi Zen Hei"/>
        <family val="2"/>
      </rPr>
      <t xml:space="preserve">出力</t>
    </r>
  </si>
  <si>
    <t xml:space="preserve">P01_1</t>
  </si>
  <si>
    <t xml:space="preserve">西海市</t>
  </si>
  <si>
    <t xml:space="preserve">GAMMA</t>
  </si>
  <si>
    <t xml:space="preserve">P01_2</t>
  </si>
  <si>
    <t xml:space="preserve">P01_3</t>
  </si>
  <si>
    <t xml:space="preserve">P01_4</t>
  </si>
  <si>
    <t xml:space="preserve">BETA</t>
  </si>
  <si>
    <t xml:space="preserve">P01_5</t>
  </si>
  <si>
    <t xml:space="preserve">P01_6</t>
  </si>
  <si>
    <t xml:space="preserve">P01_7</t>
  </si>
  <si>
    <t xml:space="preserve">P01_8</t>
  </si>
  <si>
    <t xml:space="preserve">ALPHA</t>
  </si>
  <si>
    <t xml:space="preserve">P01_9</t>
  </si>
  <si>
    <t xml:space="preserve">P01_10</t>
  </si>
  <si>
    <t xml:space="preserve">P02_1</t>
  </si>
  <si>
    <t xml:space="preserve">南山町</t>
  </si>
  <si>
    <t xml:space="preserve">P02_2</t>
  </si>
  <si>
    <t xml:space="preserve">P02_3</t>
  </si>
  <si>
    <t xml:space="preserve">P02_4</t>
  </si>
  <si>
    <t xml:space="preserve">P02_5</t>
  </si>
  <si>
    <t xml:space="preserve">P02_6</t>
  </si>
  <si>
    <t xml:space="preserve">P02_7</t>
  </si>
  <si>
    <t xml:space="preserve">P02_8</t>
  </si>
  <si>
    <t xml:space="preserve">P02_9</t>
  </si>
  <si>
    <t xml:space="preserve">P03_1</t>
  </si>
  <si>
    <t xml:space="preserve">西南市</t>
  </si>
  <si>
    <t xml:space="preserve">P03_2</t>
  </si>
  <si>
    <t xml:space="preserve">P03_3</t>
  </si>
  <si>
    <t xml:space="preserve">P03_4</t>
  </si>
  <si>
    <t xml:space="preserve">P03_5</t>
  </si>
  <si>
    <t xml:space="preserve">P03_6</t>
  </si>
  <si>
    <t xml:space="preserve">P03_7</t>
  </si>
  <si>
    <t xml:space="preserve">P03_8</t>
  </si>
  <si>
    <t xml:space="preserve">P03_9</t>
  </si>
  <si>
    <t xml:space="preserve">P03_10</t>
  </si>
  <si>
    <t xml:space="preserve">P04_1</t>
  </si>
  <si>
    <t xml:space="preserve">北西市</t>
  </si>
  <si>
    <t xml:space="preserve">P04_2</t>
  </si>
  <si>
    <t xml:space="preserve">P04_3</t>
  </si>
  <si>
    <t xml:space="preserve">P04_4</t>
  </si>
  <si>
    <t xml:space="preserve">P04_5</t>
  </si>
  <si>
    <t xml:space="preserve">P04_6</t>
  </si>
  <si>
    <t xml:space="preserve">P04_7</t>
  </si>
  <si>
    <t xml:space="preserve">P04_8</t>
  </si>
  <si>
    <t xml:space="preserve">P04_9</t>
  </si>
  <si>
    <t xml:space="preserve">P04_10</t>
  </si>
  <si>
    <t xml:space="preserve">P04_11</t>
  </si>
  <si>
    <t xml:space="preserve">P05_1</t>
  </si>
  <si>
    <t xml:space="preserve">北嶺村</t>
  </si>
  <si>
    <t xml:space="preserve">P05_2</t>
  </si>
  <si>
    <t xml:space="preserve">P05_3</t>
  </si>
  <si>
    <t xml:space="preserve">P05_4</t>
  </si>
  <si>
    <t xml:space="preserve">P05_5</t>
  </si>
  <si>
    <t xml:space="preserve">P05_6</t>
  </si>
  <si>
    <t xml:space="preserve">P05_7</t>
  </si>
  <si>
    <t xml:space="preserve">P05_8</t>
  </si>
  <si>
    <t xml:space="preserve">P05_9</t>
  </si>
  <si>
    <t xml:space="preserve">P05_10</t>
  </si>
  <si>
    <t xml:space="preserve">P05_11</t>
  </si>
  <si>
    <t xml:space="preserve">P06_1</t>
  </si>
  <si>
    <t xml:space="preserve">中央市</t>
  </si>
  <si>
    <t xml:space="preserve">P06_2</t>
  </si>
  <si>
    <t xml:space="preserve">P06_3</t>
  </si>
  <si>
    <t xml:space="preserve">P06_4</t>
  </si>
  <si>
    <t xml:space="preserve">P06_5</t>
  </si>
  <si>
    <t xml:space="preserve">P06_6</t>
  </si>
  <si>
    <t xml:space="preserve">P06_7</t>
  </si>
  <si>
    <t xml:space="preserve">P06_8</t>
  </si>
  <si>
    <t xml:space="preserve">P06_9</t>
  </si>
  <si>
    <t xml:space="preserve">P07_1</t>
  </si>
  <si>
    <t xml:space="preserve">東南村</t>
  </si>
  <si>
    <t xml:space="preserve">P07_2</t>
  </si>
  <si>
    <t xml:space="preserve">P07_3</t>
  </si>
  <si>
    <t xml:space="preserve">P07_4</t>
  </si>
  <si>
    <t xml:space="preserve">P07_5</t>
  </si>
  <si>
    <t xml:space="preserve">P07_6</t>
  </si>
  <si>
    <t xml:space="preserve">P07_7</t>
  </si>
  <si>
    <t xml:space="preserve">P07_8</t>
  </si>
  <si>
    <t xml:space="preserve">P07_9</t>
  </si>
  <si>
    <t xml:space="preserve">P07_10</t>
  </si>
  <si>
    <t xml:space="preserve">P07_11</t>
  </si>
  <si>
    <t xml:space="preserve">P07_12</t>
  </si>
  <si>
    <t xml:space="preserve">P07_13</t>
  </si>
  <si>
    <t xml:space="preserve">P08_1</t>
  </si>
  <si>
    <t xml:space="preserve">北東町</t>
  </si>
  <si>
    <t xml:space="preserve">P08_2</t>
  </si>
  <si>
    <t xml:space="preserve">なし</t>
  </si>
  <si>
    <t xml:space="preserve">P08_3</t>
  </si>
  <si>
    <t xml:space="preserve">P08_4</t>
  </si>
  <si>
    <t xml:space="preserve">P08_5</t>
  </si>
  <si>
    <t xml:space="preserve">P08_6</t>
  </si>
  <si>
    <t xml:space="preserve">P08_7</t>
  </si>
  <si>
    <t xml:space="preserve">P08_8</t>
  </si>
  <si>
    <t xml:space="preserve">P08_9</t>
  </si>
  <si>
    <t xml:space="preserve">P08_10</t>
  </si>
  <si>
    <t xml:space="preserve">P08_11</t>
  </si>
  <si>
    <t xml:space="preserve">P08_12</t>
  </si>
  <si>
    <t xml:space="preserve">P08_13</t>
  </si>
  <si>
    <t xml:space="preserve">合計</t>
  </si>
  <si>
    <t xml:space="preserve">市町村別の集計と制約の確認</t>
  </si>
  <si>
    <r>
      <rPr>
        <b val="true"/>
        <sz val="10"/>
        <color rgb="FFFFFFFF"/>
        <rFont val="Arial"/>
        <family val="0"/>
        <charset val="1"/>
      </rPr>
      <t xml:space="preserve">α</t>
    </r>
    <r>
      <rPr>
        <b val="true"/>
        <sz val="10"/>
        <color rgb="FFFFFFFF"/>
        <rFont val="WenQuanYi Zen Hei"/>
        <family val="2"/>
      </rPr>
      <t xml:space="preserve">出力 合計</t>
    </r>
  </si>
  <si>
    <r>
      <rPr>
        <b val="true"/>
        <sz val="10"/>
        <color rgb="FFFFFFFF"/>
        <rFont val="Arial"/>
        <family val="0"/>
        <charset val="1"/>
      </rPr>
      <t xml:space="preserve">α </t>
    </r>
    <r>
      <rPr>
        <b val="true"/>
        <sz val="10"/>
        <color rgb="FFFFFFFF"/>
        <rFont val="WenQuanYi Zen Hei"/>
        <family val="2"/>
      </rPr>
      <t xml:space="preserve">目標</t>
    </r>
  </si>
  <si>
    <r>
      <rPr>
        <b val="true"/>
        <sz val="10"/>
        <color rgb="FFFFFFFF"/>
        <rFont val="Arial"/>
        <family val="0"/>
        <charset val="1"/>
      </rPr>
      <t xml:space="preserve">α </t>
    </r>
    <r>
      <rPr>
        <b val="true"/>
        <sz val="10"/>
        <color rgb="FFFFFFFF"/>
        <rFont val="WenQuanYi Zen Hei"/>
        <family val="2"/>
      </rPr>
      <t xml:space="preserve">判定</t>
    </r>
  </si>
  <si>
    <r>
      <rPr>
        <b val="true"/>
        <sz val="10"/>
        <color rgb="FFFFFFFF"/>
        <rFont val="Arial"/>
        <family val="0"/>
        <charset val="1"/>
      </rPr>
      <t xml:space="preserve">β</t>
    </r>
    <r>
      <rPr>
        <b val="true"/>
        <sz val="10"/>
        <color rgb="FFFFFFFF"/>
        <rFont val="WenQuanYi Zen Hei"/>
        <family val="2"/>
      </rPr>
      <t xml:space="preserve">出力 合計</t>
    </r>
  </si>
  <si>
    <r>
      <rPr>
        <b val="true"/>
        <sz val="10"/>
        <color rgb="FFFFFFFF"/>
        <rFont val="Arial"/>
        <family val="0"/>
        <charset val="1"/>
      </rPr>
      <t xml:space="preserve">β </t>
    </r>
    <r>
      <rPr>
        <b val="true"/>
        <sz val="10"/>
        <color rgb="FFFFFFFF"/>
        <rFont val="WenQuanYi Zen Hei"/>
        <family val="2"/>
      </rPr>
      <t xml:space="preserve">目標</t>
    </r>
  </si>
  <si>
    <r>
      <rPr>
        <b val="true"/>
        <sz val="10"/>
        <color rgb="FFFFFFFF"/>
        <rFont val="Arial"/>
        <family val="0"/>
        <charset val="1"/>
      </rPr>
      <t xml:space="preserve">β </t>
    </r>
    <r>
      <rPr>
        <b val="true"/>
        <sz val="10"/>
        <color rgb="FFFFFFFF"/>
        <rFont val="WenQuanYi Zen Hei"/>
        <family val="2"/>
      </rPr>
      <t xml:space="preserve">判定</t>
    </r>
  </si>
  <si>
    <r>
      <rPr>
        <b val="true"/>
        <sz val="10"/>
        <color rgb="FFFFFFFF"/>
        <rFont val="WenQuanYi Zen Hei"/>
        <family val="2"/>
      </rPr>
      <t xml:space="preserve">面的充足率 </t>
    </r>
    <r>
      <rPr>
        <b val="true"/>
        <sz val="10"/>
        <color rgb="FFFFFFFF"/>
        <rFont val="Arial"/>
        <family val="0"/>
        <charset val="1"/>
      </rPr>
      <t xml:space="preserve">(200 m)</t>
    </r>
  </si>
  <si>
    <r>
      <rPr>
        <b val="true"/>
        <sz val="10"/>
        <color rgb="FFFFFFFF"/>
        <rFont val="WenQuanYi Zen Hei"/>
        <family val="2"/>
      </rPr>
      <t xml:space="preserve">面的充足率 </t>
    </r>
    <r>
      <rPr>
        <b val="true"/>
        <sz val="10"/>
        <color rgb="FFFFFFFF"/>
        <rFont val="Arial"/>
        <family val="0"/>
        <charset val="1"/>
      </rPr>
      <t xml:space="preserve">(100 m)</t>
    </r>
  </si>
  <si>
    <t xml:space="preserve">目標</t>
  </si>
  <si>
    <t xml:space="preserve">面積 判定</t>
  </si>
  <si>
    <r>
      <rPr>
        <i val="true"/>
        <sz val="9"/>
        <rFont val="WenQuanYi Zen Hei"/>
        <family val="2"/>
      </rPr>
      <t xml:space="preserve">青字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WenQuanYi Zen Hei"/>
        <family val="2"/>
      </rPr>
      <t xml:space="preserve">入力値（課題データの目標、または </t>
    </r>
    <r>
      <rPr>
        <i val="true"/>
        <sz val="9"/>
        <rFont val="Arial"/>
        <family val="0"/>
        <charset val="1"/>
      </rPr>
      <t xml:space="preserve">Python </t>
    </r>
    <r>
      <rPr>
        <i val="true"/>
        <sz val="9"/>
        <rFont val="WenQuanYi Zen Hei"/>
        <family val="2"/>
      </rPr>
      <t xml:space="preserve">で数えた面的充足率）。黒字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WenQuanYi Zen Hei"/>
        <family val="2"/>
      </rPr>
      <t xml:space="preserve">計算式。</t>
    </r>
  </si>
  <si>
    <r>
      <rPr>
        <b val="true"/>
        <sz val="14"/>
        <rFont val="WenQuanYi Zen Hei"/>
        <family val="2"/>
      </rPr>
      <t xml:space="preserve">センサー仕様（課題データ </t>
    </r>
    <r>
      <rPr>
        <b val="true"/>
        <sz val="14"/>
        <rFont val="Arial"/>
        <family val="0"/>
        <charset val="1"/>
      </rPr>
      <t xml:space="preserve">data_transformed.json </t>
    </r>
    <r>
      <rPr>
        <b val="true"/>
        <sz val="14"/>
        <rFont val="WenQuanYi Zen Hei"/>
        <family val="2"/>
      </rPr>
      <t xml:space="preserve">より）</t>
    </r>
  </si>
  <si>
    <t xml:space="preserve">種類</t>
  </si>
  <si>
    <t xml:space="preserve">型番</t>
  </si>
  <si>
    <t xml:space="preserve">SENS-ALPHA-01</t>
  </si>
  <si>
    <t xml:space="preserve">SENS-BETA-02</t>
  </si>
  <si>
    <t xml:space="preserve">SENS-GAMMA-03</t>
  </si>
  <si>
    <r>
      <rPr>
        <i val="true"/>
        <sz val="9"/>
        <rFont val="WenQuanYi Zen Hei"/>
        <family val="2"/>
      </rPr>
      <t xml:space="preserve">青字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WenQuanYi Zen Hei"/>
        <family val="2"/>
      </rPr>
      <t xml:space="preserve">課題データの値（入力値）。他のシートはこの表を参照して計算しています。</t>
    </r>
  </si>
  <si>
    <t xml:space="preserve">前提と注記</t>
  </si>
  <si>
    <t xml:space="preserve">解き方</t>
  </si>
  <si>
    <r>
      <rPr>
        <sz val="10"/>
        <rFont val="Arial"/>
        <family val="0"/>
        <charset val="1"/>
      </rPr>
      <t xml:space="preserve">MILP</t>
    </r>
    <r>
      <rPr>
        <sz val="10"/>
        <rFont val="WenQuanYi Zen Hei"/>
        <family val="2"/>
      </rPr>
      <t xml:space="preserve">（混合整数線形計画）。ソルバーは </t>
    </r>
    <r>
      <rPr>
        <sz val="10"/>
        <rFont val="Arial"/>
        <family val="0"/>
        <charset val="1"/>
      </rPr>
      <t xml:space="preserve">HiGHS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scipy.optimize.milp</t>
    </r>
    <r>
      <rPr>
        <sz val="10"/>
        <rFont val="WenQuanYi Zen Hei"/>
        <family val="2"/>
      </rPr>
      <t xml:space="preserve">）。最適であることを証明済み（</t>
    </r>
    <r>
      <rPr>
        <sz val="10"/>
        <rFont val="Arial"/>
        <family val="0"/>
        <charset val="1"/>
      </rPr>
      <t xml:space="preserve">gap 0</t>
    </r>
    <r>
      <rPr>
        <sz val="10"/>
        <rFont val="WenQuanYi Zen Hei"/>
        <family val="2"/>
      </rPr>
      <t xml:space="preserve">）。</t>
    </r>
  </si>
  <si>
    <t xml:space="preserve">総コスト</t>
  </si>
  <si>
    <r>
      <rPr>
        <sz val="10"/>
        <rFont val="Arial"/>
        <family val="0"/>
        <charset val="1"/>
      </rPr>
      <t xml:space="preserve">6,160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ALPHA 6 </t>
    </r>
    <r>
      <rPr>
        <sz val="10"/>
        <rFont val="WenQuanYi Zen Hei"/>
        <family val="2"/>
      </rPr>
      <t xml:space="preserve">台・</t>
    </r>
    <r>
      <rPr>
        <sz val="10"/>
        <rFont val="Arial"/>
        <family val="0"/>
        <charset val="1"/>
      </rPr>
      <t xml:space="preserve">BETA 20 </t>
    </r>
    <r>
      <rPr>
        <sz val="10"/>
        <rFont val="WenQuanYi Zen Hei"/>
        <family val="2"/>
      </rPr>
      <t xml:space="preserve">台・</t>
    </r>
    <r>
      <rPr>
        <sz val="10"/>
        <rFont val="Arial"/>
        <family val="0"/>
        <charset val="1"/>
      </rPr>
      <t xml:space="preserve">GAMMA 59 </t>
    </r>
    <r>
      <rPr>
        <sz val="10"/>
        <rFont val="WenQuanYi Zen Hei"/>
        <family val="2"/>
      </rPr>
      <t xml:space="preserve">台、計 </t>
    </r>
    <r>
      <rPr>
        <sz val="10"/>
        <rFont val="Arial"/>
        <family val="0"/>
        <charset val="1"/>
      </rPr>
      <t xml:space="preserve">85 </t>
    </r>
    <r>
      <rPr>
        <sz val="10"/>
        <rFont val="WenQuanYi Zen Hei"/>
        <family val="2"/>
      </rPr>
      <t xml:space="preserve">台。候補地 </t>
    </r>
    <r>
      <rPr>
        <sz val="10"/>
        <rFont val="Arial"/>
        <family val="0"/>
        <charset val="1"/>
      </rPr>
      <t xml:space="preserve">P08_2 </t>
    </r>
    <r>
      <rPr>
        <sz val="10"/>
        <rFont val="WenQuanYi Zen Hei"/>
        <family val="2"/>
      </rPr>
      <t xml:space="preserve">には置かない）。</t>
    </r>
  </si>
  <si>
    <t xml:space="preserve">面積の数え方</t>
  </si>
  <si>
    <r>
      <rPr>
        <sz val="10"/>
        <rFont val="WenQuanYi Zen Hei"/>
        <family val="2"/>
      </rPr>
      <t xml:space="preserve">市町村を </t>
    </r>
    <r>
      <rPr>
        <sz val="10"/>
        <rFont val="Arial"/>
        <family val="0"/>
        <charset val="1"/>
      </rPr>
      <t xml:space="preserve">200 m </t>
    </r>
    <r>
      <rPr>
        <sz val="10"/>
        <rFont val="WenQuanYi Zen Hei"/>
        <family val="2"/>
      </rPr>
      <t xml:space="preserve">四方のマスに分け、マスの中心がいずれかのセンサーの円に入れば「覆われている」とした。</t>
    </r>
    <r>
      <rPr>
        <sz val="10"/>
        <rFont val="Arial"/>
        <family val="0"/>
        <charset val="1"/>
      </rPr>
      <t xml:space="preserve">100 m </t>
    </r>
    <r>
      <rPr>
        <sz val="10"/>
        <rFont val="WenQuanYi Zen Hei"/>
        <family val="2"/>
      </rPr>
      <t xml:space="preserve">マスで数え直しても、全市町村で目標を満たす。</t>
    </r>
  </si>
  <si>
    <r>
      <rPr>
        <b val="true"/>
        <sz val="10"/>
        <rFont val="WenQuanYi Zen Hei"/>
        <family val="2"/>
      </rPr>
      <t xml:space="preserve">解釈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（要確認）</t>
    </r>
  </si>
  <si>
    <t xml:space="preserve">面的充足率は、隣の市町村に置いたセンサーの円も含めて数えた（課題文「近隣センサーとの重なりも考慮」より）。</t>
  </si>
  <si>
    <r>
      <rPr>
        <b val="true"/>
        <sz val="10"/>
        <rFont val="WenQuanYi Zen Hei"/>
        <family val="2"/>
      </rPr>
      <t xml:space="preserve">解釈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（要確認）</t>
    </r>
  </si>
  <si>
    <r>
      <rPr>
        <sz val="10"/>
        <rFont val="Arial"/>
        <family val="0"/>
        <charset val="1"/>
      </rPr>
      <t xml:space="preserve">α</t>
    </r>
    <r>
      <rPr>
        <sz val="10"/>
        <rFont val="WenQuanYi Zen Hei"/>
        <family val="2"/>
      </rPr>
      <t xml:space="preserve">出力・</t>
    </r>
    <r>
      <rPr>
        <sz val="10"/>
        <rFont val="Arial"/>
        <family val="0"/>
        <charset val="1"/>
      </rPr>
      <t xml:space="preserve">β</t>
    </r>
    <r>
      <rPr>
        <sz val="10"/>
        <rFont val="WenQuanYi Zen Hei"/>
        <family val="2"/>
      </rPr>
      <t xml:space="preserve">出力は、その市町村の候補地に置いたセンサーの値だけを合計した。</t>
    </r>
  </si>
  <si>
    <r>
      <rPr>
        <b val="true"/>
        <sz val="10"/>
        <rFont val="WenQuanYi Zen Hei"/>
        <family val="2"/>
      </rPr>
      <t xml:space="preserve">解釈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（要確認）</t>
    </r>
  </si>
  <si>
    <t xml:space="preserve">センサーのカバー範囲は、有効半径の円とした（地形・建物による遮蔽は考慮していない）。</t>
  </si>
  <si>
    <r>
      <rPr>
        <b val="true"/>
        <sz val="10"/>
        <rFont val="WenQuanYi Zen Hei"/>
        <family val="2"/>
      </rPr>
      <t xml:space="preserve">最適解は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つではない</t>
    </r>
  </si>
  <si>
    <r>
      <rPr>
        <sz val="10"/>
        <rFont val="WenQuanYi Zen Hei"/>
        <family val="2"/>
      </rPr>
      <t xml:space="preserve">コスト </t>
    </r>
    <r>
      <rPr>
        <sz val="10"/>
        <rFont val="Arial"/>
        <family val="0"/>
        <charset val="1"/>
      </rPr>
      <t xml:space="preserve">6,160 </t>
    </r>
    <r>
      <rPr>
        <sz val="10"/>
        <rFont val="WenQuanYi Zen Hei"/>
        <family val="2"/>
      </rPr>
      <t xml:space="preserve">の配置は複数ある。コスト以外の条件（予備の台数、設置のしやすさ、地域の優先度など）があれば、条件に加えて選び直せる。</t>
    </r>
  </si>
  <si>
    <t xml:space="preserve">データ</t>
  </si>
  <si>
    <r>
      <rPr>
        <sz val="10"/>
        <rFont val="WenQuanYi Zen Hei"/>
        <family val="2"/>
      </rPr>
      <t xml:space="preserve">課題データ </t>
    </r>
    <r>
      <rPr>
        <sz val="10"/>
        <rFont val="Arial"/>
        <family val="0"/>
        <charset val="1"/>
      </rPr>
      <t xml:space="preserve">data_transformed.json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市町村、</t>
    </r>
    <r>
      <rPr>
        <sz val="10"/>
        <rFont val="Arial"/>
        <family val="0"/>
        <charset val="1"/>
      </rPr>
      <t xml:space="preserve">86 </t>
    </r>
    <r>
      <rPr>
        <sz val="10"/>
        <rFont val="WenQuanYi Zen Hei"/>
        <family val="2"/>
      </rPr>
      <t xml:space="preserve">候補地、センサー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種類）。</t>
    </r>
  </si>
  <si>
    <t xml:space="preserve">再現方法</t>
  </si>
  <si>
    <r>
      <rPr>
        <sz val="10"/>
        <rFont val="WenQuanYi Zen Hei"/>
        <family val="2"/>
      </rPr>
      <t xml:space="preserve">リポジトリ </t>
    </r>
    <r>
      <rPr>
        <sz val="10"/>
        <rFont val="Arial"/>
        <family val="0"/>
        <charset val="1"/>
      </rPr>
      <t xml:space="preserve">mori560269/Q-Questgrow-</t>
    </r>
    <r>
      <rPr>
        <sz val="10"/>
        <rFont val="WenQuanYi Zen Hei"/>
        <family val="2"/>
      </rPr>
      <t xml:space="preserve">（ブランチ </t>
    </r>
    <r>
      <rPr>
        <sz val="10"/>
        <rFont val="Arial"/>
        <family val="0"/>
        <charset val="1"/>
      </rPr>
      <t xml:space="preserve">claude/request-5v4fsc</t>
    </r>
    <r>
      <rPr>
        <sz val="10"/>
        <rFont val="WenQuanYi Zen Hei"/>
        <family val="2"/>
      </rPr>
      <t xml:space="preserve">）の </t>
    </r>
    <r>
      <rPr>
        <sz val="10"/>
        <rFont val="Arial"/>
        <family val="0"/>
        <charset val="1"/>
      </rPr>
      <t xml:space="preserve">placement/fine_grid.py</t>
    </r>
    <r>
      <rPr>
        <sz val="10"/>
        <rFont val="WenQuanYi Zen Hei"/>
        <family val="2"/>
      </rPr>
      <t xml:space="preserve">。結果は </t>
    </r>
    <r>
      <rPr>
        <sz val="10"/>
        <rFont val="Arial"/>
        <family val="0"/>
        <charset val="1"/>
      </rPr>
      <t xml:space="preserve">results/placement_fine_grid.json</t>
    </r>
    <r>
      <rPr>
        <sz val="10"/>
        <rFont val="WenQuanYi Zen Hei"/>
        <family val="2"/>
      </rPr>
      <t xml:space="preserve">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</si>
</sst>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General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7334D"/>
        <bgColor rgb="FF993366"/>
      </patternFill>
    </fill>
    <fill>
      <patternFill patternType="solid">
        <fgColor rgb="FFFBEF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7334D"/>
          <bgColor rgb="FF000000"/>
        </patternFill>
      </fill>
    </dxf>
    <dxf>
      <fill>
        <patternFill patternType="solid">
          <fgColor rgb="FFFBEF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7334D"/>
      <rgbColor rgb="FFFBEF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5" min="3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8" style="0" width="1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35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3" t="s">
        <v>6</v>
      </c>
      <c r="F4" s="3" t="s">
        <v>7</v>
      </c>
      <c r="G4" s="3" t="s">
        <v>8</v>
      </c>
      <c r="H4" s="4" t="s">
        <v>9</v>
      </c>
      <c r="I4" s="4" t="s">
        <v>10</v>
      </c>
    </row>
    <row r="5" customFormat="false" ht="15" hidden="false" customHeight="false" outlineLevel="0" collapsed="false">
      <c r="A5" s="5" t="s">
        <v>11</v>
      </c>
      <c r="B5" s="6" t="s">
        <v>12</v>
      </c>
      <c r="C5" s="7" t="n">
        <v>-15194.7</v>
      </c>
      <c r="D5" s="7" t="n">
        <v>-10982.8</v>
      </c>
      <c r="E5" s="8" t="s">
        <v>13</v>
      </c>
      <c r="F5" s="9" t="n">
        <f aca="false">IF($E5="なし",0,INDEX(センサー仕様!$C$4:$C$6,MATCH($E5,センサー仕様!$A$4:$A$6,0)))</f>
        <v>40</v>
      </c>
      <c r="G5" s="9" t="n">
        <f aca="false">IF($E5="なし",0,INDEX(センサー仕様!$D$4:$D$6,MATCH($E5,センサー仕様!$A$4:$A$6,0)))</f>
        <v>4.5</v>
      </c>
      <c r="H5" s="9" t="n">
        <f aca="false">IF($E5="なし",0,INDEX(センサー仕様!$E$4:$E$6,MATCH($E5,センサー仕様!$A$4:$A$6,0)))</f>
        <v>1</v>
      </c>
      <c r="I5" s="9" t="n">
        <f aca="false">IF($E5="なし",0,INDEX(センサー仕様!$F$4:$F$6,MATCH($E5,センサー仕様!$A$4:$A$6,0)))</f>
        <v>4</v>
      </c>
    </row>
    <row r="6" customFormat="false" ht="15" hidden="false" customHeight="false" outlineLevel="0" collapsed="false">
      <c r="A6" s="10" t="s">
        <v>14</v>
      </c>
      <c r="B6" s="11" t="s">
        <v>12</v>
      </c>
      <c r="C6" s="12" t="n">
        <v>-31460.8</v>
      </c>
      <c r="D6" s="12" t="n">
        <v>8976</v>
      </c>
      <c r="E6" s="13" t="s">
        <v>13</v>
      </c>
      <c r="F6" s="14" t="n">
        <f aca="false">IF($E6="なし",0,INDEX(センサー仕様!$C$4:$C$6,MATCH($E6,センサー仕様!$A$4:$A$6,0)))</f>
        <v>40</v>
      </c>
      <c r="G6" s="14" t="n">
        <f aca="false">IF($E6="なし",0,INDEX(センサー仕様!$D$4:$D$6,MATCH($E6,センサー仕様!$A$4:$A$6,0)))</f>
        <v>4.5</v>
      </c>
      <c r="H6" s="14" t="n">
        <f aca="false">IF($E6="なし",0,INDEX(センサー仕様!$E$4:$E$6,MATCH($E6,センサー仕様!$A$4:$A$6,0)))</f>
        <v>1</v>
      </c>
      <c r="I6" s="14" t="n">
        <f aca="false">IF($E6="なし",0,INDEX(センサー仕様!$F$4:$F$6,MATCH($E6,センサー仕様!$A$4:$A$6,0)))</f>
        <v>4</v>
      </c>
    </row>
    <row r="7" customFormat="false" ht="15" hidden="false" customHeight="false" outlineLevel="0" collapsed="false">
      <c r="A7" s="5" t="s">
        <v>15</v>
      </c>
      <c r="B7" s="6" t="s">
        <v>12</v>
      </c>
      <c r="C7" s="7" t="n">
        <v>-24595.1</v>
      </c>
      <c r="D7" s="7" t="n">
        <v>5483</v>
      </c>
      <c r="E7" s="8" t="s">
        <v>13</v>
      </c>
      <c r="F7" s="9" t="n">
        <f aca="false">IF($E7="なし",0,INDEX(センサー仕様!$C$4:$C$6,MATCH($E7,センサー仕様!$A$4:$A$6,0)))</f>
        <v>40</v>
      </c>
      <c r="G7" s="9" t="n">
        <f aca="false">IF($E7="なし",0,INDEX(センサー仕様!$D$4:$D$6,MATCH($E7,センサー仕様!$A$4:$A$6,0)))</f>
        <v>4.5</v>
      </c>
      <c r="H7" s="9" t="n">
        <f aca="false">IF($E7="なし",0,INDEX(センサー仕様!$E$4:$E$6,MATCH($E7,センサー仕様!$A$4:$A$6,0)))</f>
        <v>1</v>
      </c>
      <c r="I7" s="9" t="n">
        <f aca="false">IF($E7="なし",0,INDEX(センサー仕様!$F$4:$F$6,MATCH($E7,センサー仕様!$A$4:$A$6,0)))</f>
        <v>4</v>
      </c>
    </row>
    <row r="8" customFormat="false" ht="15" hidden="false" customHeight="false" outlineLevel="0" collapsed="false">
      <c r="A8" s="10" t="s">
        <v>16</v>
      </c>
      <c r="B8" s="11" t="s">
        <v>12</v>
      </c>
      <c r="C8" s="12" t="n">
        <v>-24457.4</v>
      </c>
      <c r="D8" s="12" t="n">
        <v>-1843.5</v>
      </c>
      <c r="E8" s="13" t="s">
        <v>17</v>
      </c>
      <c r="F8" s="14" t="n">
        <f aca="false">IF($E8="なし",0,INDEX(センサー仕様!$C$4:$C$6,MATCH($E8,センサー仕様!$A$4:$A$6,0)))</f>
        <v>100</v>
      </c>
      <c r="G8" s="14" t="n">
        <f aca="false">IF($E8="なし",0,INDEX(センサー仕様!$D$4:$D$6,MATCH($E8,センサー仕様!$A$4:$A$6,0)))</f>
        <v>10</v>
      </c>
      <c r="H8" s="14" t="n">
        <f aca="false">IF($E8="なし",0,INDEX(センサー仕様!$E$4:$E$6,MATCH($E8,センサー仕様!$A$4:$A$6,0)))</f>
        <v>2</v>
      </c>
      <c r="I8" s="14" t="n">
        <f aca="false">IF($E8="なし",0,INDEX(センサー仕様!$F$4:$F$6,MATCH($E8,センサー仕様!$A$4:$A$6,0)))</f>
        <v>2</v>
      </c>
    </row>
    <row r="9" customFormat="false" ht="15" hidden="false" customHeight="false" outlineLevel="0" collapsed="false">
      <c r="A9" s="5" t="s">
        <v>18</v>
      </c>
      <c r="B9" s="6" t="s">
        <v>12</v>
      </c>
      <c r="C9" s="7" t="n">
        <v>-36243.7</v>
      </c>
      <c r="D9" s="7" t="n">
        <v>711.4</v>
      </c>
      <c r="E9" s="8" t="s">
        <v>13</v>
      </c>
      <c r="F9" s="9" t="n">
        <f aca="false">IF($E9="なし",0,INDEX(センサー仕様!$C$4:$C$6,MATCH($E9,センサー仕様!$A$4:$A$6,0)))</f>
        <v>40</v>
      </c>
      <c r="G9" s="9" t="n">
        <f aca="false">IF($E9="なし",0,INDEX(センサー仕様!$D$4:$D$6,MATCH($E9,センサー仕様!$A$4:$A$6,0)))</f>
        <v>4.5</v>
      </c>
      <c r="H9" s="9" t="n">
        <f aca="false">IF($E9="なし",0,INDEX(センサー仕様!$E$4:$E$6,MATCH($E9,センサー仕様!$A$4:$A$6,0)))</f>
        <v>1</v>
      </c>
      <c r="I9" s="9" t="n">
        <f aca="false">IF($E9="なし",0,INDEX(センサー仕様!$F$4:$F$6,MATCH($E9,センサー仕様!$A$4:$A$6,0)))</f>
        <v>4</v>
      </c>
    </row>
    <row r="10" customFormat="false" ht="15" hidden="false" customHeight="false" outlineLevel="0" collapsed="false">
      <c r="A10" s="10" t="s">
        <v>19</v>
      </c>
      <c r="B10" s="11" t="s">
        <v>12</v>
      </c>
      <c r="C10" s="12" t="n">
        <v>-16237.4</v>
      </c>
      <c r="D10" s="12" t="n">
        <v>282.1</v>
      </c>
      <c r="E10" s="13" t="s">
        <v>17</v>
      </c>
      <c r="F10" s="14" t="n">
        <f aca="false">IF($E10="なし",0,INDEX(センサー仕様!$C$4:$C$6,MATCH($E10,センサー仕様!$A$4:$A$6,0)))</f>
        <v>100</v>
      </c>
      <c r="G10" s="14" t="n">
        <f aca="false">IF($E10="なし",0,INDEX(センサー仕様!$D$4:$D$6,MATCH($E10,センサー仕様!$A$4:$A$6,0)))</f>
        <v>10</v>
      </c>
      <c r="H10" s="14" t="n">
        <f aca="false">IF($E10="なし",0,INDEX(センサー仕様!$E$4:$E$6,MATCH($E10,センサー仕様!$A$4:$A$6,0)))</f>
        <v>2</v>
      </c>
      <c r="I10" s="14" t="n">
        <f aca="false">IF($E10="なし",0,INDEX(センサー仕様!$F$4:$F$6,MATCH($E10,センサー仕様!$A$4:$A$6,0)))</f>
        <v>2</v>
      </c>
    </row>
    <row r="11" customFormat="false" ht="15" hidden="false" customHeight="false" outlineLevel="0" collapsed="false">
      <c r="A11" s="5" t="s">
        <v>20</v>
      </c>
      <c r="B11" s="6" t="s">
        <v>12</v>
      </c>
      <c r="C11" s="7" t="n">
        <v>-20347.5</v>
      </c>
      <c r="D11" s="7" t="n">
        <v>-12941.5</v>
      </c>
      <c r="E11" s="8" t="s">
        <v>13</v>
      </c>
      <c r="F11" s="9" t="n">
        <f aca="false">IF($E11="なし",0,INDEX(センサー仕様!$C$4:$C$6,MATCH($E11,センサー仕様!$A$4:$A$6,0)))</f>
        <v>40</v>
      </c>
      <c r="G11" s="9" t="n">
        <f aca="false">IF($E11="なし",0,INDEX(センサー仕様!$D$4:$D$6,MATCH($E11,センサー仕様!$A$4:$A$6,0)))</f>
        <v>4.5</v>
      </c>
      <c r="H11" s="9" t="n">
        <f aca="false">IF($E11="なし",0,INDEX(センサー仕様!$E$4:$E$6,MATCH($E11,センサー仕様!$A$4:$A$6,0)))</f>
        <v>1</v>
      </c>
      <c r="I11" s="9" t="n">
        <f aca="false">IF($E11="なし",0,INDEX(センサー仕様!$F$4:$F$6,MATCH($E11,センサー仕様!$A$4:$A$6,0)))</f>
        <v>4</v>
      </c>
    </row>
    <row r="12" customFormat="false" ht="15" hidden="false" customHeight="false" outlineLevel="0" collapsed="false">
      <c r="A12" s="10" t="s">
        <v>21</v>
      </c>
      <c r="B12" s="11" t="s">
        <v>12</v>
      </c>
      <c r="C12" s="12" t="n">
        <v>-39914.2</v>
      </c>
      <c r="D12" s="12" t="n">
        <v>-12094.6</v>
      </c>
      <c r="E12" s="13" t="s">
        <v>22</v>
      </c>
      <c r="F12" s="14" t="n">
        <f aca="false">IF($E12="なし",0,INDEX(センサー仕様!$C$4:$C$6,MATCH($E12,センサー仕様!$A$4:$A$6,0)))</f>
        <v>300</v>
      </c>
      <c r="G12" s="14" t="n">
        <f aca="false">IF($E12="なし",0,INDEX(センサー仕様!$D$4:$D$6,MATCH($E12,センサー仕様!$A$4:$A$6,0)))</f>
        <v>18</v>
      </c>
      <c r="H12" s="14" t="n">
        <f aca="false">IF($E12="なし",0,INDEX(センサー仕様!$E$4:$E$6,MATCH($E12,センサー仕様!$A$4:$A$6,0)))</f>
        <v>5</v>
      </c>
      <c r="I12" s="14" t="n">
        <f aca="false">IF($E12="なし",0,INDEX(センサー仕様!$F$4:$F$6,MATCH($E12,センサー仕様!$A$4:$A$6,0)))</f>
        <v>1</v>
      </c>
    </row>
    <row r="13" customFormat="false" ht="15" hidden="false" customHeight="false" outlineLevel="0" collapsed="false">
      <c r="A13" s="5" t="s">
        <v>23</v>
      </c>
      <c r="B13" s="6" t="s">
        <v>12</v>
      </c>
      <c r="C13" s="7" t="n">
        <v>-27744.9</v>
      </c>
      <c r="D13" s="7" t="n">
        <v>17167.5</v>
      </c>
      <c r="E13" s="8" t="s">
        <v>17</v>
      </c>
      <c r="F13" s="9" t="n">
        <f aca="false">IF($E13="なし",0,INDEX(センサー仕様!$C$4:$C$6,MATCH($E13,センサー仕様!$A$4:$A$6,0)))</f>
        <v>100</v>
      </c>
      <c r="G13" s="9" t="n">
        <f aca="false">IF($E13="なし",0,INDEX(センサー仕様!$D$4:$D$6,MATCH($E13,センサー仕様!$A$4:$A$6,0)))</f>
        <v>10</v>
      </c>
      <c r="H13" s="9" t="n">
        <f aca="false">IF($E13="なし",0,INDEX(センサー仕様!$E$4:$E$6,MATCH($E13,センサー仕様!$A$4:$A$6,0)))</f>
        <v>2</v>
      </c>
      <c r="I13" s="9" t="n">
        <f aca="false">IF($E13="なし",0,INDEX(センサー仕様!$F$4:$F$6,MATCH($E13,センサー仕様!$A$4:$A$6,0)))</f>
        <v>2</v>
      </c>
    </row>
    <row r="14" customFormat="false" ht="15" hidden="false" customHeight="false" outlineLevel="0" collapsed="false">
      <c r="A14" s="10" t="s">
        <v>24</v>
      </c>
      <c r="B14" s="11" t="s">
        <v>12</v>
      </c>
      <c r="C14" s="12" t="n">
        <v>-18243.4</v>
      </c>
      <c r="D14" s="12" t="n">
        <v>11052.5</v>
      </c>
      <c r="E14" s="13" t="s">
        <v>17</v>
      </c>
      <c r="F14" s="14" t="n">
        <f aca="false">IF($E14="なし",0,INDEX(センサー仕様!$C$4:$C$6,MATCH($E14,センサー仕様!$A$4:$A$6,0)))</f>
        <v>100</v>
      </c>
      <c r="G14" s="14" t="n">
        <f aca="false">IF($E14="なし",0,INDEX(センサー仕様!$D$4:$D$6,MATCH($E14,センサー仕様!$A$4:$A$6,0)))</f>
        <v>10</v>
      </c>
      <c r="H14" s="14" t="n">
        <f aca="false">IF($E14="なし",0,INDEX(センサー仕様!$E$4:$E$6,MATCH($E14,センサー仕様!$A$4:$A$6,0)))</f>
        <v>2</v>
      </c>
      <c r="I14" s="14" t="n">
        <f aca="false">IF($E14="なし",0,INDEX(センサー仕様!$F$4:$F$6,MATCH($E14,センサー仕様!$A$4:$A$6,0)))</f>
        <v>2</v>
      </c>
    </row>
    <row r="15" customFormat="false" ht="15" hidden="false" customHeight="false" outlineLevel="0" collapsed="false">
      <c r="A15" s="5" t="s">
        <v>25</v>
      </c>
      <c r="B15" s="6" t="s">
        <v>26</v>
      </c>
      <c r="C15" s="7" t="n">
        <v>3275.7</v>
      </c>
      <c r="D15" s="7" t="n">
        <v>-19165.2</v>
      </c>
      <c r="E15" s="8" t="s">
        <v>17</v>
      </c>
      <c r="F15" s="9" t="n">
        <f aca="false">IF($E15="なし",0,INDEX(センサー仕様!$C$4:$C$6,MATCH($E15,センサー仕様!$A$4:$A$6,0)))</f>
        <v>100</v>
      </c>
      <c r="G15" s="9" t="n">
        <f aca="false">IF($E15="なし",0,INDEX(センサー仕様!$D$4:$D$6,MATCH($E15,センサー仕様!$A$4:$A$6,0)))</f>
        <v>10</v>
      </c>
      <c r="H15" s="9" t="n">
        <f aca="false">IF($E15="なし",0,INDEX(センサー仕様!$E$4:$E$6,MATCH($E15,センサー仕様!$A$4:$A$6,0)))</f>
        <v>2</v>
      </c>
      <c r="I15" s="9" t="n">
        <f aca="false">IF($E15="なし",0,INDEX(センサー仕様!$F$4:$F$6,MATCH($E15,センサー仕様!$A$4:$A$6,0)))</f>
        <v>2</v>
      </c>
    </row>
    <row r="16" customFormat="false" ht="15" hidden="false" customHeight="false" outlineLevel="0" collapsed="false">
      <c r="A16" s="10" t="s">
        <v>27</v>
      </c>
      <c r="B16" s="11" t="s">
        <v>26</v>
      </c>
      <c r="C16" s="12" t="n">
        <v>-4490.7</v>
      </c>
      <c r="D16" s="12" t="n">
        <v>-23905.6</v>
      </c>
      <c r="E16" s="13" t="s">
        <v>13</v>
      </c>
      <c r="F16" s="14" t="n">
        <f aca="false">IF($E16="なし",0,INDEX(センサー仕様!$C$4:$C$6,MATCH($E16,センサー仕様!$A$4:$A$6,0)))</f>
        <v>40</v>
      </c>
      <c r="G16" s="14" t="n">
        <f aca="false">IF($E16="なし",0,INDEX(センサー仕様!$D$4:$D$6,MATCH($E16,センサー仕様!$A$4:$A$6,0)))</f>
        <v>4.5</v>
      </c>
      <c r="H16" s="14" t="n">
        <f aca="false">IF($E16="なし",0,INDEX(センサー仕様!$E$4:$E$6,MATCH($E16,センサー仕様!$A$4:$A$6,0)))</f>
        <v>1</v>
      </c>
      <c r="I16" s="14" t="n">
        <f aca="false">IF($E16="なし",0,INDEX(センサー仕様!$F$4:$F$6,MATCH($E16,センサー仕様!$A$4:$A$6,0)))</f>
        <v>4</v>
      </c>
    </row>
    <row r="17" customFormat="false" ht="15" hidden="false" customHeight="false" outlineLevel="0" collapsed="false">
      <c r="A17" s="5" t="s">
        <v>28</v>
      </c>
      <c r="B17" s="6" t="s">
        <v>26</v>
      </c>
      <c r="C17" s="7" t="n">
        <v>7537.5</v>
      </c>
      <c r="D17" s="7" t="n">
        <v>-32556.5</v>
      </c>
      <c r="E17" s="8" t="s">
        <v>13</v>
      </c>
      <c r="F17" s="9" t="n">
        <f aca="false">IF($E17="なし",0,INDEX(センサー仕様!$C$4:$C$6,MATCH($E17,センサー仕様!$A$4:$A$6,0)))</f>
        <v>40</v>
      </c>
      <c r="G17" s="9" t="n">
        <f aca="false">IF($E17="なし",0,INDEX(センサー仕様!$D$4:$D$6,MATCH($E17,センサー仕様!$A$4:$A$6,0)))</f>
        <v>4.5</v>
      </c>
      <c r="H17" s="9" t="n">
        <f aca="false">IF($E17="なし",0,INDEX(センサー仕様!$E$4:$E$6,MATCH($E17,センサー仕様!$A$4:$A$6,0)))</f>
        <v>1</v>
      </c>
      <c r="I17" s="9" t="n">
        <f aca="false">IF($E17="なし",0,INDEX(センサー仕様!$F$4:$F$6,MATCH($E17,センサー仕様!$A$4:$A$6,0)))</f>
        <v>4</v>
      </c>
    </row>
    <row r="18" customFormat="false" ht="15" hidden="false" customHeight="false" outlineLevel="0" collapsed="false">
      <c r="A18" s="10" t="s">
        <v>29</v>
      </c>
      <c r="B18" s="11" t="s">
        <v>26</v>
      </c>
      <c r="C18" s="12" t="n">
        <v>-9701.4</v>
      </c>
      <c r="D18" s="12" t="n">
        <v>-22704</v>
      </c>
      <c r="E18" s="13" t="s">
        <v>17</v>
      </c>
      <c r="F18" s="14" t="n">
        <f aca="false">IF($E18="なし",0,INDEX(センサー仕様!$C$4:$C$6,MATCH($E18,センサー仕様!$A$4:$A$6,0)))</f>
        <v>100</v>
      </c>
      <c r="G18" s="14" t="n">
        <f aca="false">IF($E18="なし",0,INDEX(センサー仕様!$D$4:$D$6,MATCH($E18,センサー仕様!$A$4:$A$6,0)))</f>
        <v>10</v>
      </c>
      <c r="H18" s="14" t="n">
        <f aca="false">IF($E18="なし",0,INDEX(センサー仕様!$E$4:$E$6,MATCH($E18,センサー仕様!$A$4:$A$6,0)))</f>
        <v>2</v>
      </c>
      <c r="I18" s="14" t="n">
        <f aca="false">IF($E18="なし",0,INDEX(センサー仕様!$F$4:$F$6,MATCH($E18,センサー仕様!$A$4:$A$6,0)))</f>
        <v>2</v>
      </c>
    </row>
    <row r="19" customFormat="false" ht="15" hidden="false" customHeight="false" outlineLevel="0" collapsed="false">
      <c r="A19" s="5" t="s">
        <v>30</v>
      </c>
      <c r="B19" s="6" t="s">
        <v>26</v>
      </c>
      <c r="C19" s="7" t="n">
        <v>-9546.7</v>
      </c>
      <c r="D19" s="7" t="n">
        <v>-30818.6</v>
      </c>
      <c r="E19" s="8" t="s">
        <v>22</v>
      </c>
      <c r="F19" s="9" t="n">
        <f aca="false">IF($E19="なし",0,INDEX(センサー仕様!$C$4:$C$6,MATCH($E19,センサー仕様!$A$4:$A$6,0)))</f>
        <v>300</v>
      </c>
      <c r="G19" s="9" t="n">
        <f aca="false">IF($E19="なし",0,INDEX(センサー仕様!$D$4:$D$6,MATCH($E19,センサー仕様!$A$4:$A$6,0)))</f>
        <v>18</v>
      </c>
      <c r="H19" s="9" t="n">
        <f aca="false">IF($E19="なし",0,INDEX(センサー仕様!$E$4:$E$6,MATCH($E19,センサー仕様!$A$4:$A$6,0)))</f>
        <v>5</v>
      </c>
      <c r="I19" s="9" t="n">
        <f aca="false">IF($E19="なし",0,INDEX(センサー仕様!$F$4:$F$6,MATCH($E19,センサー仕様!$A$4:$A$6,0)))</f>
        <v>1</v>
      </c>
    </row>
    <row r="20" customFormat="false" ht="15" hidden="false" customHeight="false" outlineLevel="0" collapsed="false">
      <c r="A20" s="10" t="s">
        <v>31</v>
      </c>
      <c r="B20" s="11" t="s">
        <v>26</v>
      </c>
      <c r="C20" s="12" t="n">
        <v>6118.3</v>
      </c>
      <c r="D20" s="12" t="n">
        <v>-36547.7</v>
      </c>
      <c r="E20" s="13" t="s">
        <v>17</v>
      </c>
      <c r="F20" s="14" t="n">
        <f aca="false">IF($E20="なし",0,INDEX(センサー仕様!$C$4:$C$6,MATCH($E20,センサー仕様!$A$4:$A$6,0)))</f>
        <v>100</v>
      </c>
      <c r="G20" s="14" t="n">
        <f aca="false">IF($E20="なし",0,INDEX(センサー仕様!$D$4:$D$6,MATCH($E20,センサー仕様!$A$4:$A$6,0)))</f>
        <v>10</v>
      </c>
      <c r="H20" s="14" t="n">
        <f aca="false">IF($E20="なし",0,INDEX(センサー仕様!$E$4:$E$6,MATCH($E20,センサー仕様!$A$4:$A$6,0)))</f>
        <v>2</v>
      </c>
      <c r="I20" s="14" t="n">
        <f aca="false">IF($E20="なし",0,INDEX(センサー仕様!$F$4:$F$6,MATCH($E20,センサー仕様!$A$4:$A$6,0)))</f>
        <v>2</v>
      </c>
    </row>
    <row r="21" customFormat="false" ht="15" hidden="false" customHeight="false" outlineLevel="0" collapsed="false">
      <c r="A21" s="5" t="s">
        <v>32</v>
      </c>
      <c r="B21" s="6" t="s">
        <v>26</v>
      </c>
      <c r="C21" s="7" t="n">
        <v>10919.7</v>
      </c>
      <c r="D21" s="7" t="n">
        <v>-24888.2</v>
      </c>
      <c r="E21" s="8" t="s">
        <v>17</v>
      </c>
      <c r="F21" s="9" t="n">
        <f aca="false">IF($E21="なし",0,INDEX(センサー仕様!$C$4:$C$6,MATCH($E21,センサー仕様!$A$4:$A$6,0)))</f>
        <v>100</v>
      </c>
      <c r="G21" s="9" t="n">
        <f aca="false">IF($E21="なし",0,INDEX(センサー仕様!$D$4:$D$6,MATCH($E21,センサー仕様!$A$4:$A$6,0)))</f>
        <v>10</v>
      </c>
      <c r="H21" s="9" t="n">
        <f aca="false">IF($E21="なし",0,INDEX(センサー仕様!$E$4:$E$6,MATCH($E21,センサー仕様!$A$4:$A$6,0)))</f>
        <v>2</v>
      </c>
      <c r="I21" s="9" t="n">
        <f aca="false">IF($E21="なし",0,INDEX(センサー仕様!$F$4:$F$6,MATCH($E21,センサー仕様!$A$4:$A$6,0)))</f>
        <v>2</v>
      </c>
    </row>
    <row r="22" customFormat="false" ht="15" hidden="false" customHeight="false" outlineLevel="0" collapsed="false">
      <c r="A22" s="10" t="s">
        <v>33</v>
      </c>
      <c r="B22" s="11" t="s">
        <v>26</v>
      </c>
      <c r="C22" s="12" t="n">
        <v>-8309.8</v>
      </c>
      <c r="D22" s="12" t="n">
        <v>-46446.4</v>
      </c>
      <c r="E22" s="13" t="s">
        <v>22</v>
      </c>
      <c r="F22" s="14" t="n">
        <f aca="false">IF($E22="なし",0,INDEX(センサー仕様!$C$4:$C$6,MATCH($E22,センサー仕様!$A$4:$A$6,0)))</f>
        <v>300</v>
      </c>
      <c r="G22" s="14" t="n">
        <f aca="false">IF($E22="なし",0,INDEX(センサー仕様!$D$4:$D$6,MATCH($E22,センサー仕様!$A$4:$A$6,0)))</f>
        <v>18</v>
      </c>
      <c r="H22" s="14" t="n">
        <f aca="false">IF($E22="なし",0,INDEX(センサー仕様!$E$4:$E$6,MATCH($E22,センサー仕様!$A$4:$A$6,0)))</f>
        <v>5</v>
      </c>
      <c r="I22" s="14" t="n">
        <f aca="false">IF($E22="なし",0,INDEX(センサー仕様!$F$4:$F$6,MATCH($E22,センサー仕様!$A$4:$A$6,0)))</f>
        <v>1</v>
      </c>
    </row>
    <row r="23" customFormat="false" ht="15" hidden="false" customHeight="false" outlineLevel="0" collapsed="false">
      <c r="A23" s="5" t="s">
        <v>34</v>
      </c>
      <c r="B23" s="6" t="s">
        <v>26</v>
      </c>
      <c r="C23" s="7" t="n">
        <v>-4895.6</v>
      </c>
      <c r="D23" s="7" t="n">
        <v>-13686.4</v>
      </c>
      <c r="E23" s="8" t="s">
        <v>22</v>
      </c>
      <c r="F23" s="9" t="n">
        <f aca="false">IF($E23="なし",0,INDEX(センサー仕様!$C$4:$C$6,MATCH($E23,センサー仕様!$A$4:$A$6,0)))</f>
        <v>300</v>
      </c>
      <c r="G23" s="9" t="n">
        <f aca="false">IF($E23="なし",0,INDEX(センサー仕様!$D$4:$D$6,MATCH($E23,センサー仕様!$A$4:$A$6,0)))</f>
        <v>18</v>
      </c>
      <c r="H23" s="9" t="n">
        <f aca="false">IF($E23="なし",0,INDEX(センサー仕様!$E$4:$E$6,MATCH($E23,センサー仕様!$A$4:$A$6,0)))</f>
        <v>5</v>
      </c>
      <c r="I23" s="9" t="n">
        <f aca="false">IF($E23="なし",0,INDEX(センサー仕様!$F$4:$F$6,MATCH($E23,センサー仕様!$A$4:$A$6,0)))</f>
        <v>1</v>
      </c>
    </row>
    <row r="24" customFormat="false" ht="15" hidden="false" customHeight="false" outlineLevel="0" collapsed="false">
      <c r="A24" s="10" t="s">
        <v>35</v>
      </c>
      <c r="B24" s="11" t="s">
        <v>36</v>
      </c>
      <c r="C24" s="12" t="n">
        <v>-25103.4</v>
      </c>
      <c r="D24" s="12" t="n">
        <v>-43913.5</v>
      </c>
      <c r="E24" s="13" t="s">
        <v>13</v>
      </c>
      <c r="F24" s="14" t="n">
        <f aca="false">IF($E24="なし",0,INDEX(センサー仕様!$C$4:$C$6,MATCH($E24,センサー仕様!$A$4:$A$6,0)))</f>
        <v>40</v>
      </c>
      <c r="G24" s="14" t="n">
        <f aca="false">IF($E24="なし",0,INDEX(センサー仕様!$D$4:$D$6,MATCH($E24,センサー仕様!$A$4:$A$6,0)))</f>
        <v>4.5</v>
      </c>
      <c r="H24" s="14" t="n">
        <f aca="false">IF($E24="なし",0,INDEX(センサー仕様!$E$4:$E$6,MATCH($E24,センサー仕様!$A$4:$A$6,0)))</f>
        <v>1</v>
      </c>
      <c r="I24" s="14" t="n">
        <f aca="false">IF($E24="なし",0,INDEX(センサー仕様!$F$4:$F$6,MATCH($E24,センサー仕様!$A$4:$A$6,0)))</f>
        <v>4</v>
      </c>
    </row>
    <row r="25" customFormat="false" ht="15" hidden="false" customHeight="false" outlineLevel="0" collapsed="false">
      <c r="A25" s="5" t="s">
        <v>37</v>
      </c>
      <c r="B25" s="6" t="s">
        <v>36</v>
      </c>
      <c r="C25" s="7" t="n">
        <v>-15816.2</v>
      </c>
      <c r="D25" s="7" t="n">
        <v>-25621.1</v>
      </c>
      <c r="E25" s="8" t="s">
        <v>13</v>
      </c>
      <c r="F25" s="9" t="n">
        <f aca="false">IF($E25="なし",0,INDEX(センサー仕様!$C$4:$C$6,MATCH($E25,センサー仕様!$A$4:$A$6,0)))</f>
        <v>40</v>
      </c>
      <c r="G25" s="9" t="n">
        <f aca="false">IF($E25="なし",0,INDEX(センサー仕様!$D$4:$D$6,MATCH($E25,センサー仕様!$A$4:$A$6,0)))</f>
        <v>4.5</v>
      </c>
      <c r="H25" s="9" t="n">
        <f aca="false">IF($E25="なし",0,INDEX(センサー仕様!$E$4:$E$6,MATCH($E25,センサー仕様!$A$4:$A$6,0)))</f>
        <v>1</v>
      </c>
      <c r="I25" s="9" t="n">
        <f aca="false">IF($E25="なし",0,INDEX(センサー仕様!$F$4:$F$6,MATCH($E25,センサー仕様!$A$4:$A$6,0)))</f>
        <v>4</v>
      </c>
    </row>
    <row r="26" customFormat="false" ht="15" hidden="false" customHeight="false" outlineLevel="0" collapsed="false">
      <c r="A26" s="10" t="s">
        <v>38</v>
      </c>
      <c r="B26" s="11" t="s">
        <v>36</v>
      </c>
      <c r="C26" s="12" t="n">
        <v>-25907.3</v>
      </c>
      <c r="D26" s="12" t="n">
        <v>-30900.4</v>
      </c>
      <c r="E26" s="13" t="s">
        <v>13</v>
      </c>
      <c r="F26" s="14" t="n">
        <f aca="false">IF($E26="なし",0,INDEX(センサー仕様!$C$4:$C$6,MATCH($E26,センサー仕様!$A$4:$A$6,0)))</f>
        <v>40</v>
      </c>
      <c r="G26" s="14" t="n">
        <f aca="false">IF($E26="なし",0,INDEX(センサー仕様!$D$4:$D$6,MATCH($E26,センサー仕様!$A$4:$A$6,0)))</f>
        <v>4.5</v>
      </c>
      <c r="H26" s="14" t="n">
        <f aca="false">IF($E26="なし",0,INDEX(センサー仕様!$E$4:$E$6,MATCH($E26,センサー仕様!$A$4:$A$6,0)))</f>
        <v>1</v>
      </c>
      <c r="I26" s="14" t="n">
        <f aca="false">IF($E26="なし",0,INDEX(センサー仕様!$F$4:$F$6,MATCH($E26,センサー仕様!$A$4:$A$6,0)))</f>
        <v>4</v>
      </c>
    </row>
    <row r="27" customFormat="false" ht="15" hidden="false" customHeight="false" outlineLevel="0" collapsed="false">
      <c r="A27" s="5" t="s">
        <v>39</v>
      </c>
      <c r="B27" s="6" t="s">
        <v>36</v>
      </c>
      <c r="C27" s="7" t="n">
        <v>-40511.4</v>
      </c>
      <c r="D27" s="7" t="n">
        <v>-19510.6</v>
      </c>
      <c r="E27" s="8" t="s">
        <v>13</v>
      </c>
      <c r="F27" s="9" t="n">
        <f aca="false">IF($E27="なし",0,INDEX(センサー仕様!$C$4:$C$6,MATCH($E27,センサー仕様!$A$4:$A$6,0)))</f>
        <v>40</v>
      </c>
      <c r="G27" s="9" t="n">
        <f aca="false">IF($E27="なし",0,INDEX(センサー仕様!$D$4:$D$6,MATCH($E27,センサー仕様!$A$4:$A$6,0)))</f>
        <v>4.5</v>
      </c>
      <c r="H27" s="9" t="n">
        <f aca="false">IF($E27="なし",0,INDEX(センサー仕様!$E$4:$E$6,MATCH($E27,センサー仕様!$A$4:$A$6,0)))</f>
        <v>1</v>
      </c>
      <c r="I27" s="9" t="n">
        <f aca="false">IF($E27="なし",0,INDEX(センサー仕様!$F$4:$F$6,MATCH($E27,センサー仕様!$A$4:$A$6,0)))</f>
        <v>4</v>
      </c>
    </row>
    <row r="28" customFormat="false" ht="15" hidden="false" customHeight="false" outlineLevel="0" collapsed="false">
      <c r="A28" s="10" t="s">
        <v>40</v>
      </c>
      <c r="B28" s="11" t="s">
        <v>36</v>
      </c>
      <c r="C28" s="12" t="n">
        <v>-18108.6</v>
      </c>
      <c r="D28" s="12" t="n">
        <v>-35059.2</v>
      </c>
      <c r="E28" s="13" t="s">
        <v>13</v>
      </c>
      <c r="F28" s="14" t="n">
        <f aca="false">IF($E28="なし",0,INDEX(センサー仕様!$C$4:$C$6,MATCH($E28,センサー仕様!$A$4:$A$6,0)))</f>
        <v>40</v>
      </c>
      <c r="G28" s="14" t="n">
        <f aca="false">IF($E28="なし",0,INDEX(センサー仕様!$D$4:$D$6,MATCH($E28,センサー仕様!$A$4:$A$6,0)))</f>
        <v>4.5</v>
      </c>
      <c r="H28" s="14" t="n">
        <f aca="false">IF($E28="なし",0,INDEX(センサー仕様!$E$4:$E$6,MATCH($E28,センサー仕様!$A$4:$A$6,0)))</f>
        <v>1</v>
      </c>
      <c r="I28" s="14" t="n">
        <f aca="false">IF($E28="なし",0,INDEX(センサー仕様!$F$4:$F$6,MATCH($E28,センサー仕様!$A$4:$A$6,0)))</f>
        <v>4</v>
      </c>
    </row>
    <row r="29" customFormat="false" ht="15" hidden="false" customHeight="false" outlineLevel="0" collapsed="false">
      <c r="A29" s="5" t="s">
        <v>41</v>
      </c>
      <c r="B29" s="6" t="s">
        <v>36</v>
      </c>
      <c r="C29" s="7" t="n">
        <v>-24600.7</v>
      </c>
      <c r="D29" s="7" t="n">
        <v>-23537.9</v>
      </c>
      <c r="E29" s="8" t="s">
        <v>13</v>
      </c>
      <c r="F29" s="9" t="n">
        <f aca="false">IF($E29="なし",0,INDEX(センサー仕様!$C$4:$C$6,MATCH($E29,センサー仕様!$A$4:$A$6,0)))</f>
        <v>40</v>
      </c>
      <c r="G29" s="9" t="n">
        <f aca="false">IF($E29="なし",0,INDEX(センサー仕様!$D$4:$D$6,MATCH($E29,センサー仕様!$A$4:$A$6,0)))</f>
        <v>4.5</v>
      </c>
      <c r="H29" s="9" t="n">
        <f aca="false">IF($E29="なし",0,INDEX(センサー仕様!$E$4:$E$6,MATCH($E29,センサー仕様!$A$4:$A$6,0)))</f>
        <v>1</v>
      </c>
      <c r="I29" s="9" t="n">
        <f aca="false">IF($E29="なし",0,INDEX(センサー仕様!$F$4:$F$6,MATCH($E29,センサー仕様!$A$4:$A$6,0)))</f>
        <v>4</v>
      </c>
    </row>
    <row r="30" customFormat="false" ht="15" hidden="false" customHeight="false" outlineLevel="0" collapsed="false">
      <c r="A30" s="10" t="s">
        <v>42</v>
      </c>
      <c r="B30" s="11" t="s">
        <v>36</v>
      </c>
      <c r="C30" s="12" t="n">
        <v>-15604</v>
      </c>
      <c r="D30" s="12" t="n">
        <v>-41736.3</v>
      </c>
      <c r="E30" s="13" t="s">
        <v>13</v>
      </c>
      <c r="F30" s="14" t="n">
        <f aca="false">IF($E30="なし",0,INDEX(センサー仕様!$C$4:$C$6,MATCH($E30,センサー仕様!$A$4:$A$6,0)))</f>
        <v>40</v>
      </c>
      <c r="G30" s="14" t="n">
        <f aca="false">IF($E30="なし",0,INDEX(センサー仕様!$D$4:$D$6,MATCH($E30,センサー仕様!$A$4:$A$6,0)))</f>
        <v>4.5</v>
      </c>
      <c r="H30" s="14" t="n">
        <f aca="false">IF($E30="なし",0,INDEX(センサー仕様!$E$4:$E$6,MATCH($E30,センサー仕様!$A$4:$A$6,0)))</f>
        <v>1</v>
      </c>
      <c r="I30" s="14" t="n">
        <f aca="false">IF($E30="なし",0,INDEX(センサー仕様!$F$4:$F$6,MATCH($E30,センサー仕様!$A$4:$A$6,0)))</f>
        <v>4</v>
      </c>
    </row>
    <row r="31" customFormat="false" ht="15" hidden="false" customHeight="false" outlineLevel="0" collapsed="false">
      <c r="A31" s="5" t="s">
        <v>43</v>
      </c>
      <c r="B31" s="6" t="s">
        <v>36</v>
      </c>
      <c r="C31" s="7" t="n">
        <v>-20999</v>
      </c>
      <c r="D31" s="7" t="n">
        <v>-19081.7</v>
      </c>
      <c r="E31" s="8" t="s">
        <v>13</v>
      </c>
      <c r="F31" s="9" t="n">
        <f aca="false">IF($E31="なし",0,INDEX(センサー仕様!$C$4:$C$6,MATCH($E31,センサー仕様!$A$4:$A$6,0)))</f>
        <v>40</v>
      </c>
      <c r="G31" s="9" t="n">
        <f aca="false">IF($E31="なし",0,INDEX(センサー仕様!$D$4:$D$6,MATCH($E31,センサー仕様!$A$4:$A$6,0)))</f>
        <v>4.5</v>
      </c>
      <c r="H31" s="9" t="n">
        <f aca="false">IF($E31="なし",0,INDEX(センサー仕様!$E$4:$E$6,MATCH($E31,センサー仕様!$A$4:$A$6,0)))</f>
        <v>1</v>
      </c>
      <c r="I31" s="9" t="n">
        <f aca="false">IF($E31="なし",0,INDEX(センサー仕様!$F$4:$F$6,MATCH($E31,センサー仕様!$A$4:$A$6,0)))</f>
        <v>4</v>
      </c>
    </row>
    <row r="32" customFormat="false" ht="15" hidden="false" customHeight="false" outlineLevel="0" collapsed="false">
      <c r="A32" s="10" t="s">
        <v>44</v>
      </c>
      <c r="B32" s="11" t="s">
        <v>36</v>
      </c>
      <c r="C32" s="12" t="n">
        <v>-27966.3</v>
      </c>
      <c r="D32" s="12" t="n">
        <v>-38736.1</v>
      </c>
      <c r="E32" s="13" t="s">
        <v>13</v>
      </c>
      <c r="F32" s="14" t="n">
        <f aca="false">IF($E32="なし",0,INDEX(センサー仕様!$C$4:$C$6,MATCH($E32,センサー仕様!$A$4:$A$6,0)))</f>
        <v>40</v>
      </c>
      <c r="G32" s="14" t="n">
        <f aca="false">IF($E32="なし",0,INDEX(センサー仕様!$D$4:$D$6,MATCH($E32,センサー仕様!$A$4:$A$6,0)))</f>
        <v>4.5</v>
      </c>
      <c r="H32" s="14" t="n">
        <f aca="false">IF($E32="なし",0,INDEX(センサー仕様!$E$4:$E$6,MATCH($E32,センサー仕様!$A$4:$A$6,0)))</f>
        <v>1</v>
      </c>
      <c r="I32" s="14" t="n">
        <f aca="false">IF($E32="なし",0,INDEX(センサー仕様!$F$4:$F$6,MATCH($E32,センサー仕様!$A$4:$A$6,0)))</f>
        <v>4</v>
      </c>
    </row>
    <row r="33" customFormat="false" ht="15" hidden="false" customHeight="false" outlineLevel="0" collapsed="false">
      <c r="A33" s="5" t="s">
        <v>45</v>
      </c>
      <c r="B33" s="6" t="s">
        <v>36</v>
      </c>
      <c r="C33" s="7" t="n">
        <v>-39778.2</v>
      </c>
      <c r="D33" s="7" t="n">
        <v>-32901.5</v>
      </c>
      <c r="E33" s="8" t="s">
        <v>13</v>
      </c>
      <c r="F33" s="9" t="n">
        <f aca="false">IF($E33="なし",0,INDEX(センサー仕様!$C$4:$C$6,MATCH($E33,センサー仕様!$A$4:$A$6,0)))</f>
        <v>40</v>
      </c>
      <c r="G33" s="9" t="n">
        <f aca="false">IF($E33="なし",0,INDEX(センサー仕様!$D$4:$D$6,MATCH($E33,センサー仕様!$A$4:$A$6,0)))</f>
        <v>4.5</v>
      </c>
      <c r="H33" s="9" t="n">
        <f aca="false">IF($E33="なし",0,INDEX(センサー仕様!$E$4:$E$6,MATCH($E33,センサー仕様!$A$4:$A$6,0)))</f>
        <v>1</v>
      </c>
      <c r="I33" s="9" t="n">
        <f aca="false">IF($E33="なし",0,INDEX(センサー仕様!$F$4:$F$6,MATCH($E33,センサー仕様!$A$4:$A$6,0)))</f>
        <v>4</v>
      </c>
    </row>
    <row r="34" customFormat="false" ht="15" hidden="false" customHeight="false" outlineLevel="0" collapsed="false">
      <c r="A34" s="10" t="s">
        <v>46</v>
      </c>
      <c r="B34" s="11" t="s">
        <v>47</v>
      </c>
      <c r="C34" s="12" t="n">
        <v>-15879.9</v>
      </c>
      <c r="D34" s="12" t="n">
        <v>25502.3</v>
      </c>
      <c r="E34" s="13" t="s">
        <v>13</v>
      </c>
      <c r="F34" s="14" t="n">
        <f aca="false">IF($E34="なし",0,INDEX(センサー仕様!$C$4:$C$6,MATCH($E34,センサー仕様!$A$4:$A$6,0)))</f>
        <v>40</v>
      </c>
      <c r="G34" s="14" t="n">
        <f aca="false">IF($E34="なし",0,INDEX(センサー仕様!$D$4:$D$6,MATCH($E34,センサー仕様!$A$4:$A$6,0)))</f>
        <v>4.5</v>
      </c>
      <c r="H34" s="14" t="n">
        <f aca="false">IF($E34="なし",0,INDEX(センサー仕様!$E$4:$E$6,MATCH($E34,センサー仕様!$A$4:$A$6,0)))</f>
        <v>1</v>
      </c>
      <c r="I34" s="14" t="n">
        <f aca="false">IF($E34="なし",0,INDEX(センサー仕様!$F$4:$F$6,MATCH($E34,センサー仕様!$A$4:$A$6,0)))</f>
        <v>4</v>
      </c>
    </row>
    <row r="35" customFormat="false" ht="15" hidden="false" customHeight="false" outlineLevel="0" collapsed="false">
      <c r="A35" s="5" t="s">
        <v>48</v>
      </c>
      <c r="B35" s="6" t="s">
        <v>47</v>
      </c>
      <c r="C35" s="7" t="n">
        <v>-12502.5</v>
      </c>
      <c r="D35" s="7" t="n">
        <v>39078.9</v>
      </c>
      <c r="E35" s="8" t="s">
        <v>13</v>
      </c>
      <c r="F35" s="9" t="n">
        <f aca="false">IF($E35="なし",0,INDEX(センサー仕様!$C$4:$C$6,MATCH($E35,センサー仕様!$A$4:$A$6,0)))</f>
        <v>40</v>
      </c>
      <c r="G35" s="9" t="n">
        <f aca="false">IF($E35="なし",0,INDEX(センサー仕様!$D$4:$D$6,MATCH($E35,センサー仕様!$A$4:$A$6,0)))</f>
        <v>4.5</v>
      </c>
      <c r="H35" s="9" t="n">
        <f aca="false">IF($E35="なし",0,INDEX(センサー仕様!$E$4:$E$6,MATCH($E35,センサー仕様!$A$4:$A$6,0)))</f>
        <v>1</v>
      </c>
      <c r="I35" s="9" t="n">
        <f aca="false">IF($E35="なし",0,INDEX(センサー仕様!$F$4:$F$6,MATCH($E35,センサー仕様!$A$4:$A$6,0)))</f>
        <v>4</v>
      </c>
    </row>
    <row r="36" customFormat="false" ht="15" hidden="false" customHeight="false" outlineLevel="0" collapsed="false">
      <c r="A36" s="10" t="s">
        <v>49</v>
      </c>
      <c r="B36" s="11" t="s">
        <v>47</v>
      </c>
      <c r="C36" s="12" t="n">
        <v>-15698</v>
      </c>
      <c r="D36" s="12" t="n">
        <v>30344.1</v>
      </c>
      <c r="E36" s="13" t="s">
        <v>17</v>
      </c>
      <c r="F36" s="14" t="n">
        <f aca="false">IF($E36="なし",0,INDEX(センサー仕様!$C$4:$C$6,MATCH($E36,センサー仕様!$A$4:$A$6,0)))</f>
        <v>100</v>
      </c>
      <c r="G36" s="14" t="n">
        <f aca="false">IF($E36="なし",0,INDEX(センサー仕様!$D$4:$D$6,MATCH($E36,センサー仕様!$A$4:$A$6,0)))</f>
        <v>10</v>
      </c>
      <c r="H36" s="14" t="n">
        <f aca="false">IF($E36="なし",0,INDEX(センサー仕様!$E$4:$E$6,MATCH($E36,センサー仕様!$A$4:$A$6,0)))</f>
        <v>2</v>
      </c>
      <c r="I36" s="14" t="n">
        <f aca="false">IF($E36="なし",0,INDEX(センサー仕様!$F$4:$F$6,MATCH($E36,センサー仕様!$A$4:$A$6,0)))</f>
        <v>2</v>
      </c>
    </row>
    <row r="37" customFormat="false" ht="15" hidden="false" customHeight="false" outlineLevel="0" collapsed="false">
      <c r="A37" s="5" t="s">
        <v>50</v>
      </c>
      <c r="B37" s="6" t="s">
        <v>47</v>
      </c>
      <c r="C37" s="7" t="n">
        <v>-11022.1</v>
      </c>
      <c r="D37" s="7" t="n">
        <v>20504.5</v>
      </c>
      <c r="E37" s="8" t="s">
        <v>13</v>
      </c>
      <c r="F37" s="9" t="n">
        <f aca="false">IF($E37="なし",0,INDEX(センサー仕様!$C$4:$C$6,MATCH($E37,センサー仕様!$A$4:$A$6,0)))</f>
        <v>40</v>
      </c>
      <c r="G37" s="9" t="n">
        <f aca="false">IF($E37="なし",0,INDEX(センサー仕様!$D$4:$D$6,MATCH($E37,センサー仕様!$A$4:$A$6,0)))</f>
        <v>4.5</v>
      </c>
      <c r="H37" s="9" t="n">
        <f aca="false">IF($E37="なし",0,INDEX(センサー仕様!$E$4:$E$6,MATCH($E37,センサー仕様!$A$4:$A$6,0)))</f>
        <v>1</v>
      </c>
      <c r="I37" s="9" t="n">
        <f aca="false">IF($E37="なし",0,INDEX(センサー仕様!$F$4:$F$6,MATCH($E37,センサー仕様!$A$4:$A$6,0)))</f>
        <v>4</v>
      </c>
    </row>
    <row r="38" customFormat="false" ht="15" hidden="false" customHeight="false" outlineLevel="0" collapsed="false">
      <c r="A38" s="10" t="s">
        <v>51</v>
      </c>
      <c r="B38" s="11" t="s">
        <v>47</v>
      </c>
      <c r="C38" s="12" t="n">
        <v>-21369</v>
      </c>
      <c r="D38" s="12" t="n">
        <v>28479.9</v>
      </c>
      <c r="E38" s="13" t="s">
        <v>13</v>
      </c>
      <c r="F38" s="14" t="n">
        <f aca="false">IF($E38="なし",0,INDEX(センサー仕様!$C$4:$C$6,MATCH($E38,センサー仕様!$A$4:$A$6,0)))</f>
        <v>40</v>
      </c>
      <c r="G38" s="14" t="n">
        <f aca="false">IF($E38="なし",0,INDEX(センサー仕様!$D$4:$D$6,MATCH($E38,センサー仕様!$A$4:$A$6,0)))</f>
        <v>4.5</v>
      </c>
      <c r="H38" s="14" t="n">
        <f aca="false">IF($E38="なし",0,INDEX(センサー仕様!$E$4:$E$6,MATCH($E38,センサー仕様!$A$4:$A$6,0)))</f>
        <v>1</v>
      </c>
      <c r="I38" s="14" t="n">
        <f aca="false">IF($E38="なし",0,INDEX(センサー仕様!$F$4:$F$6,MATCH($E38,センサー仕様!$A$4:$A$6,0)))</f>
        <v>4</v>
      </c>
    </row>
    <row r="39" customFormat="false" ht="15" hidden="false" customHeight="false" outlineLevel="0" collapsed="false">
      <c r="A39" s="5" t="s">
        <v>52</v>
      </c>
      <c r="B39" s="6" t="s">
        <v>47</v>
      </c>
      <c r="C39" s="7" t="n">
        <v>-14852.5</v>
      </c>
      <c r="D39" s="7" t="n">
        <v>35478.3</v>
      </c>
      <c r="E39" s="8" t="s">
        <v>13</v>
      </c>
      <c r="F39" s="9" t="n">
        <f aca="false">IF($E39="なし",0,INDEX(センサー仕様!$C$4:$C$6,MATCH($E39,センサー仕様!$A$4:$A$6,0)))</f>
        <v>40</v>
      </c>
      <c r="G39" s="9" t="n">
        <f aca="false">IF($E39="なし",0,INDEX(センサー仕様!$D$4:$D$6,MATCH($E39,センサー仕様!$A$4:$A$6,0)))</f>
        <v>4.5</v>
      </c>
      <c r="H39" s="9" t="n">
        <f aca="false">IF($E39="なし",0,INDEX(センサー仕様!$E$4:$E$6,MATCH($E39,センサー仕様!$A$4:$A$6,0)))</f>
        <v>1</v>
      </c>
      <c r="I39" s="9" t="n">
        <f aca="false">IF($E39="なし",0,INDEX(センサー仕様!$F$4:$F$6,MATCH($E39,センサー仕様!$A$4:$A$6,0)))</f>
        <v>4</v>
      </c>
    </row>
    <row r="40" customFormat="false" ht="15" hidden="false" customHeight="false" outlineLevel="0" collapsed="false">
      <c r="A40" s="10" t="s">
        <v>53</v>
      </c>
      <c r="B40" s="11" t="s">
        <v>47</v>
      </c>
      <c r="C40" s="12" t="n">
        <v>-11744.3</v>
      </c>
      <c r="D40" s="12" t="n">
        <v>26643</v>
      </c>
      <c r="E40" s="13" t="s">
        <v>13</v>
      </c>
      <c r="F40" s="14" t="n">
        <f aca="false">IF($E40="なし",0,INDEX(センサー仕様!$C$4:$C$6,MATCH($E40,センサー仕様!$A$4:$A$6,0)))</f>
        <v>40</v>
      </c>
      <c r="G40" s="14" t="n">
        <f aca="false">IF($E40="なし",0,INDEX(センサー仕様!$D$4:$D$6,MATCH($E40,センサー仕様!$A$4:$A$6,0)))</f>
        <v>4.5</v>
      </c>
      <c r="H40" s="14" t="n">
        <f aca="false">IF($E40="なし",0,INDEX(センサー仕様!$E$4:$E$6,MATCH($E40,センサー仕様!$A$4:$A$6,0)))</f>
        <v>1</v>
      </c>
      <c r="I40" s="14" t="n">
        <f aca="false">IF($E40="なし",0,INDEX(センサー仕様!$F$4:$F$6,MATCH($E40,センサー仕様!$A$4:$A$6,0)))</f>
        <v>4</v>
      </c>
    </row>
    <row r="41" customFormat="false" ht="15" hidden="false" customHeight="false" outlineLevel="0" collapsed="false">
      <c r="A41" s="5" t="s">
        <v>54</v>
      </c>
      <c r="B41" s="6" t="s">
        <v>47</v>
      </c>
      <c r="C41" s="7" t="n">
        <v>-18379.7</v>
      </c>
      <c r="D41" s="7" t="n">
        <v>16845.4</v>
      </c>
      <c r="E41" s="8" t="s">
        <v>13</v>
      </c>
      <c r="F41" s="9" t="n">
        <f aca="false">IF($E41="なし",0,INDEX(センサー仕様!$C$4:$C$6,MATCH($E41,センサー仕様!$A$4:$A$6,0)))</f>
        <v>40</v>
      </c>
      <c r="G41" s="9" t="n">
        <f aca="false">IF($E41="なし",0,INDEX(センサー仕様!$D$4:$D$6,MATCH($E41,センサー仕様!$A$4:$A$6,0)))</f>
        <v>4.5</v>
      </c>
      <c r="H41" s="9" t="n">
        <f aca="false">IF($E41="なし",0,INDEX(センサー仕様!$E$4:$E$6,MATCH($E41,センサー仕様!$A$4:$A$6,0)))</f>
        <v>1</v>
      </c>
      <c r="I41" s="9" t="n">
        <f aca="false">IF($E41="なし",0,INDEX(センサー仕様!$F$4:$F$6,MATCH($E41,センサー仕様!$A$4:$A$6,0)))</f>
        <v>4</v>
      </c>
    </row>
    <row r="42" customFormat="false" ht="15" hidden="false" customHeight="false" outlineLevel="0" collapsed="false">
      <c r="A42" s="10" t="s">
        <v>55</v>
      </c>
      <c r="B42" s="11" t="s">
        <v>47</v>
      </c>
      <c r="C42" s="12" t="n">
        <v>-5516.1</v>
      </c>
      <c r="D42" s="12" t="n">
        <v>44541.9</v>
      </c>
      <c r="E42" s="13" t="s">
        <v>13</v>
      </c>
      <c r="F42" s="14" t="n">
        <f aca="false">IF($E42="なし",0,INDEX(センサー仕様!$C$4:$C$6,MATCH($E42,センサー仕様!$A$4:$A$6,0)))</f>
        <v>40</v>
      </c>
      <c r="G42" s="14" t="n">
        <f aca="false">IF($E42="なし",0,INDEX(センサー仕様!$D$4:$D$6,MATCH($E42,センサー仕様!$A$4:$A$6,0)))</f>
        <v>4.5</v>
      </c>
      <c r="H42" s="14" t="n">
        <f aca="false">IF($E42="なし",0,INDEX(センサー仕様!$E$4:$E$6,MATCH($E42,センサー仕様!$A$4:$A$6,0)))</f>
        <v>1</v>
      </c>
      <c r="I42" s="14" t="n">
        <f aca="false">IF($E42="なし",0,INDEX(センサー仕様!$F$4:$F$6,MATCH($E42,センサー仕様!$A$4:$A$6,0)))</f>
        <v>4</v>
      </c>
    </row>
    <row r="43" customFormat="false" ht="15" hidden="false" customHeight="false" outlineLevel="0" collapsed="false">
      <c r="A43" s="5" t="s">
        <v>56</v>
      </c>
      <c r="B43" s="6" t="s">
        <v>47</v>
      </c>
      <c r="C43" s="7" t="n">
        <v>-5514.1</v>
      </c>
      <c r="D43" s="7" t="n">
        <v>31986.6</v>
      </c>
      <c r="E43" s="8" t="s">
        <v>13</v>
      </c>
      <c r="F43" s="9" t="n">
        <f aca="false">IF($E43="なし",0,INDEX(センサー仕様!$C$4:$C$6,MATCH($E43,センサー仕様!$A$4:$A$6,0)))</f>
        <v>40</v>
      </c>
      <c r="G43" s="9" t="n">
        <f aca="false">IF($E43="なし",0,INDEX(センサー仕様!$D$4:$D$6,MATCH($E43,センサー仕様!$A$4:$A$6,0)))</f>
        <v>4.5</v>
      </c>
      <c r="H43" s="9" t="n">
        <f aca="false">IF($E43="なし",0,INDEX(センサー仕様!$E$4:$E$6,MATCH($E43,センサー仕様!$A$4:$A$6,0)))</f>
        <v>1</v>
      </c>
      <c r="I43" s="9" t="n">
        <f aca="false">IF($E43="なし",0,INDEX(センサー仕様!$F$4:$F$6,MATCH($E43,センサー仕様!$A$4:$A$6,0)))</f>
        <v>4</v>
      </c>
    </row>
    <row r="44" customFormat="false" ht="15" hidden="false" customHeight="false" outlineLevel="0" collapsed="false">
      <c r="A44" s="10" t="s">
        <v>57</v>
      </c>
      <c r="B44" s="11" t="s">
        <v>47</v>
      </c>
      <c r="C44" s="12" t="n">
        <v>-2506.1</v>
      </c>
      <c r="D44" s="12" t="n">
        <v>22332.1</v>
      </c>
      <c r="E44" s="13" t="s">
        <v>13</v>
      </c>
      <c r="F44" s="14" t="n">
        <f aca="false">IF($E44="なし",0,INDEX(センサー仕様!$C$4:$C$6,MATCH($E44,センサー仕様!$A$4:$A$6,0)))</f>
        <v>40</v>
      </c>
      <c r="G44" s="14" t="n">
        <f aca="false">IF($E44="なし",0,INDEX(センサー仕様!$D$4:$D$6,MATCH($E44,センサー仕様!$A$4:$A$6,0)))</f>
        <v>4.5</v>
      </c>
      <c r="H44" s="14" t="n">
        <f aca="false">IF($E44="なし",0,INDEX(センサー仕様!$E$4:$E$6,MATCH($E44,センサー仕様!$A$4:$A$6,0)))</f>
        <v>1</v>
      </c>
      <c r="I44" s="14" t="n">
        <f aca="false">IF($E44="なし",0,INDEX(センサー仕様!$F$4:$F$6,MATCH($E44,センサー仕様!$A$4:$A$6,0)))</f>
        <v>4</v>
      </c>
    </row>
    <row r="45" customFormat="false" ht="15" hidden="false" customHeight="false" outlineLevel="0" collapsed="false">
      <c r="A45" s="5" t="s">
        <v>58</v>
      </c>
      <c r="B45" s="6" t="s">
        <v>59</v>
      </c>
      <c r="C45" s="7" t="n">
        <v>11897.2</v>
      </c>
      <c r="D45" s="7" t="n">
        <v>44104.9</v>
      </c>
      <c r="E45" s="8" t="s">
        <v>17</v>
      </c>
      <c r="F45" s="9" t="n">
        <f aca="false">IF($E45="なし",0,INDEX(センサー仕様!$C$4:$C$6,MATCH($E45,センサー仕様!$A$4:$A$6,0)))</f>
        <v>100</v>
      </c>
      <c r="G45" s="9" t="n">
        <f aca="false">IF($E45="なし",0,INDEX(センサー仕様!$D$4:$D$6,MATCH($E45,センサー仕様!$A$4:$A$6,0)))</f>
        <v>10</v>
      </c>
      <c r="H45" s="9" t="n">
        <f aca="false">IF($E45="なし",0,INDEX(センサー仕様!$E$4:$E$6,MATCH($E45,センサー仕様!$A$4:$A$6,0)))</f>
        <v>2</v>
      </c>
      <c r="I45" s="9" t="n">
        <f aca="false">IF($E45="なし",0,INDEX(センサー仕様!$F$4:$F$6,MATCH($E45,センサー仕様!$A$4:$A$6,0)))</f>
        <v>2</v>
      </c>
    </row>
    <row r="46" customFormat="false" ht="15" hidden="false" customHeight="false" outlineLevel="0" collapsed="false">
      <c r="A46" s="10" t="s">
        <v>60</v>
      </c>
      <c r="B46" s="11" t="s">
        <v>59</v>
      </c>
      <c r="C46" s="12" t="n">
        <v>3921.8</v>
      </c>
      <c r="D46" s="12" t="n">
        <v>24434.8</v>
      </c>
      <c r="E46" s="13" t="s">
        <v>17</v>
      </c>
      <c r="F46" s="14" t="n">
        <f aca="false">IF($E46="なし",0,INDEX(センサー仕様!$C$4:$C$6,MATCH($E46,センサー仕様!$A$4:$A$6,0)))</f>
        <v>100</v>
      </c>
      <c r="G46" s="14" t="n">
        <f aca="false">IF($E46="なし",0,INDEX(センサー仕様!$D$4:$D$6,MATCH($E46,センサー仕様!$A$4:$A$6,0)))</f>
        <v>10</v>
      </c>
      <c r="H46" s="14" t="n">
        <f aca="false">IF($E46="なし",0,INDEX(センサー仕様!$E$4:$E$6,MATCH($E46,センサー仕様!$A$4:$A$6,0)))</f>
        <v>2</v>
      </c>
      <c r="I46" s="14" t="n">
        <f aca="false">IF($E46="なし",0,INDEX(センサー仕様!$F$4:$F$6,MATCH($E46,センサー仕様!$A$4:$A$6,0)))</f>
        <v>2</v>
      </c>
    </row>
    <row r="47" customFormat="false" ht="15" hidden="false" customHeight="false" outlineLevel="0" collapsed="false">
      <c r="A47" s="5" t="s">
        <v>61</v>
      </c>
      <c r="B47" s="6" t="s">
        <v>59</v>
      </c>
      <c r="C47" s="7" t="n">
        <v>10063.2</v>
      </c>
      <c r="D47" s="7" t="n">
        <v>36843.6</v>
      </c>
      <c r="E47" s="8" t="s">
        <v>17</v>
      </c>
      <c r="F47" s="9" t="n">
        <f aca="false">IF($E47="なし",0,INDEX(センサー仕様!$C$4:$C$6,MATCH($E47,センサー仕様!$A$4:$A$6,0)))</f>
        <v>100</v>
      </c>
      <c r="G47" s="9" t="n">
        <f aca="false">IF($E47="なし",0,INDEX(センサー仕様!$D$4:$D$6,MATCH($E47,センサー仕様!$A$4:$A$6,0)))</f>
        <v>10</v>
      </c>
      <c r="H47" s="9" t="n">
        <f aca="false">IF($E47="なし",0,INDEX(センサー仕様!$E$4:$E$6,MATCH($E47,センサー仕様!$A$4:$A$6,0)))</f>
        <v>2</v>
      </c>
      <c r="I47" s="9" t="n">
        <f aca="false">IF($E47="なし",0,INDEX(センサー仕様!$F$4:$F$6,MATCH($E47,センサー仕様!$A$4:$A$6,0)))</f>
        <v>2</v>
      </c>
    </row>
    <row r="48" customFormat="false" ht="15" hidden="false" customHeight="false" outlineLevel="0" collapsed="false">
      <c r="A48" s="10" t="s">
        <v>62</v>
      </c>
      <c r="B48" s="11" t="s">
        <v>59</v>
      </c>
      <c r="C48" s="12" t="n">
        <v>17216</v>
      </c>
      <c r="D48" s="12" t="n">
        <v>41801.9</v>
      </c>
      <c r="E48" s="13" t="s">
        <v>13</v>
      </c>
      <c r="F48" s="14" t="n">
        <f aca="false">IF($E48="なし",0,INDEX(センサー仕様!$C$4:$C$6,MATCH($E48,センサー仕様!$A$4:$A$6,0)))</f>
        <v>40</v>
      </c>
      <c r="G48" s="14" t="n">
        <f aca="false">IF($E48="なし",0,INDEX(センサー仕様!$D$4:$D$6,MATCH($E48,センサー仕様!$A$4:$A$6,0)))</f>
        <v>4.5</v>
      </c>
      <c r="H48" s="14" t="n">
        <f aca="false">IF($E48="なし",0,INDEX(センサー仕様!$E$4:$E$6,MATCH($E48,センサー仕様!$A$4:$A$6,0)))</f>
        <v>1</v>
      </c>
      <c r="I48" s="14" t="n">
        <f aca="false">IF($E48="なし",0,INDEX(センサー仕様!$F$4:$F$6,MATCH($E48,センサー仕様!$A$4:$A$6,0)))</f>
        <v>4</v>
      </c>
    </row>
    <row r="49" customFormat="false" ht="15" hidden="false" customHeight="false" outlineLevel="0" collapsed="false">
      <c r="A49" s="5" t="s">
        <v>63</v>
      </c>
      <c r="B49" s="6" t="s">
        <v>59</v>
      </c>
      <c r="C49" s="7" t="n">
        <v>3387.4</v>
      </c>
      <c r="D49" s="7" t="n">
        <v>37082.4</v>
      </c>
      <c r="E49" s="8" t="s">
        <v>17</v>
      </c>
      <c r="F49" s="9" t="n">
        <f aca="false">IF($E49="なし",0,INDEX(センサー仕様!$C$4:$C$6,MATCH($E49,センサー仕様!$A$4:$A$6,0)))</f>
        <v>100</v>
      </c>
      <c r="G49" s="9" t="n">
        <f aca="false">IF($E49="なし",0,INDEX(センサー仕様!$D$4:$D$6,MATCH($E49,センサー仕様!$A$4:$A$6,0)))</f>
        <v>10</v>
      </c>
      <c r="H49" s="9" t="n">
        <f aca="false">IF($E49="なし",0,INDEX(センサー仕様!$E$4:$E$6,MATCH($E49,センサー仕様!$A$4:$A$6,0)))</f>
        <v>2</v>
      </c>
      <c r="I49" s="9" t="n">
        <f aca="false">IF($E49="なし",0,INDEX(センサー仕様!$F$4:$F$6,MATCH($E49,センサー仕様!$A$4:$A$6,0)))</f>
        <v>2</v>
      </c>
    </row>
    <row r="50" customFormat="false" ht="15" hidden="false" customHeight="false" outlineLevel="0" collapsed="false">
      <c r="A50" s="10" t="s">
        <v>64</v>
      </c>
      <c r="B50" s="11" t="s">
        <v>59</v>
      </c>
      <c r="C50" s="12" t="n">
        <v>9473.2</v>
      </c>
      <c r="D50" s="12" t="n">
        <v>30294.3</v>
      </c>
      <c r="E50" s="13" t="s">
        <v>17</v>
      </c>
      <c r="F50" s="14" t="n">
        <f aca="false">IF($E50="なし",0,INDEX(センサー仕様!$C$4:$C$6,MATCH($E50,センサー仕様!$A$4:$A$6,0)))</f>
        <v>100</v>
      </c>
      <c r="G50" s="14" t="n">
        <f aca="false">IF($E50="なし",0,INDEX(センサー仕様!$D$4:$D$6,MATCH($E50,センサー仕様!$A$4:$A$6,0)))</f>
        <v>10</v>
      </c>
      <c r="H50" s="14" t="n">
        <f aca="false">IF($E50="なし",0,INDEX(センサー仕様!$E$4:$E$6,MATCH($E50,センサー仕様!$A$4:$A$6,0)))</f>
        <v>2</v>
      </c>
      <c r="I50" s="14" t="n">
        <f aca="false">IF($E50="なし",0,INDEX(センサー仕様!$F$4:$F$6,MATCH($E50,センサー仕様!$A$4:$A$6,0)))</f>
        <v>2</v>
      </c>
    </row>
    <row r="51" customFormat="false" ht="15" hidden="false" customHeight="false" outlineLevel="0" collapsed="false">
      <c r="A51" s="5" t="s">
        <v>65</v>
      </c>
      <c r="B51" s="6" t="s">
        <v>59</v>
      </c>
      <c r="C51" s="7" t="n">
        <v>4165.4</v>
      </c>
      <c r="D51" s="7" t="n">
        <v>31065.7</v>
      </c>
      <c r="E51" s="8" t="s">
        <v>13</v>
      </c>
      <c r="F51" s="9" t="n">
        <f aca="false">IF($E51="なし",0,INDEX(センサー仕様!$C$4:$C$6,MATCH($E51,センサー仕様!$A$4:$A$6,0)))</f>
        <v>40</v>
      </c>
      <c r="G51" s="9" t="n">
        <f aca="false">IF($E51="なし",0,INDEX(センサー仕様!$D$4:$D$6,MATCH($E51,センサー仕様!$A$4:$A$6,0)))</f>
        <v>4.5</v>
      </c>
      <c r="H51" s="9" t="n">
        <f aca="false">IF($E51="なし",0,INDEX(センサー仕様!$E$4:$E$6,MATCH($E51,センサー仕様!$A$4:$A$6,0)))</f>
        <v>1</v>
      </c>
      <c r="I51" s="9" t="n">
        <f aca="false">IF($E51="なし",0,INDEX(センサー仕様!$F$4:$F$6,MATCH($E51,センサー仕様!$A$4:$A$6,0)))</f>
        <v>4</v>
      </c>
    </row>
    <row r="52" customFormat="false" ht="15" hidden="false" customHeight="false" outlineLevel="0" collapsed="false">
      <c r="A52" s="10" t="s">
        <v>66</v>
      </c>
      <c r="B52" s="11" t="s">
        <v>59</v>
      </c>
      <c r="C52" s="12" t="n">
        <v>-112.2</v>
      </c>
      <c r="D52" s="12" t="n">
        <v>46030.1</v>
      </c>
      <c r="E52" s="13" t="s">
        <v>17</v>
      </c>
      <c r="F52" s="14" t="n">
        <f aca="false">IF($E52="なし",0,INDEX(センサー仕様!$C$4:$C$6,MATCH($E52,センサー仕様!$A$4:$A$6,0)))</f>
        <v>100</v>
      </c>
      <c r="G52" s="14" t="n">
        <f aca="false">IF($E52="なし",0,INDEX(センサー仕様!$D$4:$D$6,MATCH($E52,センサー仕様!$A$4:$A$6,0)))</f>
        <v>10</v>
      </c>
      <c r="H52" s="14" t="n">
        <f aca="false">IF($E52="なし",0,INDEX(センサー仕様!$E$4:$E$6,MATCH($E52,センサー仕様!$A$4:$A$6,0)))</f>
        <v>2</v>
      </c>
      <c r="I52" s="14" t="n">
        <f aca="false">IF($E52="なし",0,INDEX(センサー仕様!$F$4:$F$6,MATCH($E52,センサー仕様!$A$4:$A$6,0)))</f>
        <v>2</v>
      </c>
    </row>
    <row r="53" customFormat="false" ht="15" hidden="false" customHeight="false" outlineLevel="0" collapsed="false">
      <c r="A53" s="5" t="s">
        <v>67</v>
      </c>
      <c r="B53" s="6" t="s">
        <v>59</v>
      </c>
      <c r="C53" s="7" t="n">
        <v>12548.5</v>
      </c>
      <c r="D53" s="7" t="n">
        <v>20880.3</v>
      </c>
      <c r="E53" s="8" t="s">
        <v>17</v>
      </c>
      <c r="F53" s="9" t="n">
        <f aca="false">IF($E53="なし",0,INDEX(センサー仕様!$C$4:$C$6,MATCH($E53,センサー仕様!$A$4:$A$6,0)))</f>
        <v>100</v>
      </c>
      <c r="G53" s="9" t="n">
        <f aca="false">IF($E53="なし",0,INDEX(センサー仕様!$D$4:$D$6,MATCH($E53,センサー仕様!$A$4:$A$6,0)))</f>
        <v>10</v>
      </c>
      <c r="H53" s="9" t="n">
        <f aca="false">IF($E53="なし",0,INDEX(センサー仕様!$E$4:$E$6,MATCH($E53,センサー仕様!$A$4:$A$6,0)))</f>
        <v>2</v>
      </c>
      <c r="I53" s="9" t="n">
        <f aca="false">IF($E53="なし",0,INDEX(センサー仕様!$F$4:$F$6,MATCH($E53,センサー仕様!$A$4:$A$6,0)))</f>
        <v>2</v>
      </c>
    </row>
    <row r="54" customFormat="false" ht="15" hidden="false" customHeight="false" outlineLevel="0" collapsed="false">
      <c r="A54" s="10" t="s">
        <v>68</v>
      </c>
      <c r="B54" s="11" t="s">
        <v>59</v>
      </c>
      <c r="C54" s="12" t="n">
        <v>17289.9</v>
      </c>
      <c r="D54" s="12" t="n">
        <v>29312.3</v>
      </c>
      <c r="E54" s="13" t="s">
        <v>17</v>
      </c>
      <c r="F54" s="14" t="n">
        <f aca="false">IF($E54="なし",0,INDEX(センサー仕様!$C$4:$C$6,MATCH($E54,センサー仕様!$A$4:$A$6,0)))</f>
        <v>100</v>
      </c>
      <c r="G54" s="14" t="n">
        <f aca="false">IF($E54="なし",0,INDEX(センサー仕様!$D$4:$D$6,MATCH($E54,センサー仕様!$A$4:$A$6,0)))</f>
        <v>10</v>
      </c>
      <c r="H54" s="14" t="n">
        <f aca="false">IF($E54="なし",0,INDEX(センサー仕様!$E$4:$E$6,MATCH($E54,センサー仕様!$A$4:$A$6,0)))</f>
        <v>2</v>
      </c>
      <c r="I54" s="14" t="n">
        <f aca="false">IF($E54="なし",0,INDEX(センサー仕様!$F$4:$F$6,MATCH($E54,センサー仕様!$A$4:$A$6,0)))</f>
        <v>2</v>
      </c>
    </row>
    <row r="55" customFormat="false" ht="15" hidden="false" customHeight="false" outlineLevel="0" collapsed="false">
      <c r="A55" s="5" t="s">
        <v>69</v>
      </c>
      <c r="B55" s="6" t="s">
        <v>59</v>
      </c>
      <c r="C55" s="7" t="n">
        <v>23322.3</v>
      </c>
      <c r="D55" s="7" t="n">
        <v>39827</v>
      </c>
      <c r="E55" s="8" t="s">
        <v>17</v>
      </c>
      <c r="F55" s="9" t="n">
        <f aca="false">IF($E55="なし",0,INDEX(センサー仕様!$C$4:$C$6,MATCH($E55,センサー仕様!$A$4:$A$6,0)))</f>
        <v>100</v>
      </c>
      <c r="G55" s="9" t="n">
        <f aca="false">IF($E55="なし",0,INDEX(センサー仕様!$D$4:$D$6,MATCH($E55,センサー仕様!$A$4:$A$6,0)))</f>
        <v>10</v>
      </c>
      <c r="H55" s="9" t="n">
        <f aca="false">IF($E55="なし",0,INDEX(センサー仕様!$E$4:$E$6,MATCH($E55,センサー仕様!$A$4:$A$6,0)))</f>
        <v>2</v>
      </c>
      <c r="I55" s="9" t="n">
        <f aca="false">IF($E55="なし",0,INDEX(センサー仕様!$F$4:$F$6,MATCH($E55,センサー仕様!$A$4:$A$6,0)))</f>
        <v>2</v>
      </c>
    </row>
    <row r="56" customFormat="false" ht="15" hidden="false" customHeight="false" outlineLevel="0" collapsed="false">
      <c r="A56" s="10" t="s">
        <v>70</v>
      </c>
      <c r="B56" s="11" t="s">
        <v>71</v>
      </c>
      <c r="C56" s="12" t="n">
        <v>8141.5</v>
      </c>
      <c r="D56" s="12" t="n">
        <v>10493.7</v>
      </c>
      <c r="E56" s="13" t="s">
        <v>22</v>
      </c>
      <c r="F56" s="14" t="n">
        <f aca="false">IF($E56="なし",0,INDEX(センサー仕様!$C$4:$C$6,MATCH($E56,センサー仕様!$A$4:$A$6,0)))</f>
        <v>300</v>
      </c>
      <c r="G56" s="14" t="n">
        <f aca="false">IF($E56="なし",0,INDEX(センサー仕様!$D$4:$D$6,MATCH($E56,センサー仕様!$A$4:$A$6,0)))</f>
        <v>18</v>
      </c>
      <c r="H56" s="14" t="n">
        <f aca="false">IF($E56="なし",0,INDEX(センサー仕様!$E$4:$E$6,MATCH($E56,センサー仕様!$A$4:$A$6,0)))</f>
        <v>5</v>
      </c>
      <c r="I56" s="14" t="n">
        <f aca="false">IF($E56="なし",0,INDEX(センサー仕様!$F$4:$F$6,MATCH($E56,センサー仕様!$A$4:$A$6,0)))</f>
        <v>1</v>
      </c>
    </row>
    <row r="57" customFormat="false" ht="15" hidden="false" customHeight="false" outlineLevel="0" collapsed="false">
      <c r="A57" s="5" t="s">
        <v>72</v>
      </c>
      <c r="B57" s="6" t="s">
        <v>71</v>
      </c>
      <c r="C57" s="7" t="n">
        <v>5701.4</v>
      </c>
      <c r="D57" s="7" t="n">
        <v>3545.8</v>
      </c>
      <c r="E57" s="8" t="s">
        <v>13</v>
      </c>
      <c r="F57" s="9" t="n">
        <f aca="false">IF($E57="なし",0,INDEX(センサー仕様!$C$4:$C$6,MATCH($E57,センサー仕様!$A$4:$A$6,0)))</f>
        <v>40</v>
      </c>
      <c r="G57" s="9" t="n">
        <f aca="false">IF($E57="なし",0,INDEX(センサー仕様!$D$4:$D$6,MATCH($E57,センサー仕様!$A$4:$A$6,0)))</f>
        <v>4.5</v>
      </c>
      <c r="H57" s="9" t="n">
        <f aca="false">IF($E57="なし",0,INDEX(センサー仕様!$E$4:$E$6,MATCH($E57,センサー仕様!$A$4:$A$6,0)))</f>
        <v>1</v>
      </c>
      <c r="I57" s="9" t="n">
        <f aca="false">IF($E57="なし",0,INDEX(センサー仕様!$F$4:$F$6,MATCH($E57,センサー仕様!$A$4:$A$6,0)))</f>
        <v>4</v>
      </c>
    </row>
    <row r="58" customFormat="false" ht="15" hidden="false" customHeight="false" outlineLevel="0" collapsed="false">
      <c r="A58" s="10" t="s">
        <v>73</v>
      </c>
      <c r="B58" s="11" t="s">
        <v>71</v>
      </c>
      <c r="C58" s="12" t="n">
        <v>12560.2</v>
      </c>
      <c r="D58" s="12" t="n">
        <v>14509.3</v>
      </c>
      <c r="E58" s="13" t="s">
        <v>13</v>
      </c>
      <c r="F58" s="14" t="n">
        <f aca="false">IF($E58="なし",0,INDEX(センサー仕様!$C$4:$C$6,MATCH($E58,センサー仕様!$A$4:$A$6,0)))</f>
        <v>40</v>
      </c>
      <c r="G58" s="14" t="n">
        <f aca="false">IF($E58="なし",0,INDEX(センサー仕様!$D$4:$D$6,MATCH($E58,センサー仕様!$A$4:$A$6,0)))</f>
        <v>4.5</v>
      </c>
      <c r="H58" s="14" t="n">
        <f aca="false">IF($E58="なし",0,INDEX(センサー仕様!$E$4:$E$6,MATCH($E58,センサー仕様!$A$4:$A$6,0)))</f>
        <v>1</v>
      </c>
      <c r="I58" s="14" t="n">
        <f aca="false">IF($E58="なし",0,INDEX(センサー仕様!$F$4:$F$6,MATCH($E58,センサー仕様!$A$4:$A$6,0)))</f>
        <v>4</v>
      </c>
    </row>
    <row r="59" customFormat="false" ht="15" hidden="false" customHeight="false" outlineLevel="0" collapsed="false">
      <c r="A59" s="5" t="s">
        <v>74</v>
      </c>
      <c r="B59" s="6" t="s">
        <v>71</v>
      </c>
      <c r="C59" s="7" t="n">
        <v>-4841.8</v>
      </c>
      <c r="D59" s="7" t="n">
        <v>380.5</v>
      </c>
      <c r="E59" s="8" t="s">
        <v>13</v>
      </c>
      <c r="F59" s="9" t="n">
        <f aca="false">IF($E59="なし",0,INDEX(センサー仕様!$C$4:$C$6,MATCH($E59,センサー仕様!$A$4:$A$6,0)))</f>
        <v>40</v>
      </c>
      <c r="G59" s="9" t="n">
        <f aca="false">IF($E59="なし",0,INDEX(センサー仕様!$D$4:$D$6,MATCH($E59,センサー仕様!$A$4:$A$6,0)))</f>
        <v>4.5</v>
      </c>
      <c r="H59" s="9" t="n">
        <f aca="false">IF($E59="なし",0,INDEX(センサー仕様!$E$4:$E$6,MATCH($E59,センサー仕様!$A$4:$A$6,0)))</f>
        <v>1</v>
      </c>
      <c r="I59" s="9" t="n">
        <f aca="false">IF($E59="なし",0,INDEX(センサー仕様!$F$4:$F$6,MATCH($E59,センサー仕様!$A$4:$A$6,0)))</f>
        <v>4</v>
      </c>
    </row>
    <row r="60" customFormat="false" ht="15" hidden="false" customHeight="false" outlineLevel="0" collapsed="false">
      <c r="A60" s="10" t="s">
        <v>75</v>
      </c>
      <c r="B60" s="11" t="s">
        <v>71</v>
      </c>
      <c r="C60" s="12" t="n">
        <v>12542.8</v>
      </c>
      <c r="D60" s="12" t="n">
        <v>2800.4</v>
      </c>
      <c r="E60" s="13" t="s">
        <v>13</v>
      </c>
      <c r="F60" s="14" t="n">
        <f aca="false">IF($E60="なし",0,INDEX(センサー仕様!$C$4:$C$6,MATCH($E60,センサー仕様!$A$4:$A$6,0)))</f>
        <v>40</v>
      </c>
      <c r="G60" s="14" t="n">
        <f aca="false">IF($E60="なし",0,INDEX(センサー仕様!$D$4:$D$6,MATCH($E60,センサー仕様!$A$4:$A$6,0)))</f>
        <v>4.5</v>
      </c>
      <c r="H60" s="14" t="n">
        <f aca="false">IF($E60="なし",0,INDEX(センサー仕様!$E$4:$E$6,MATCH($E60,センサー仕様!$A$4:$A$6,0)))</f>
        <v>1</v>
      </c>
      <c r="I60" s="14" t="n">
        <f aca="false">IF($E60="なし",0,INDEX(センサー仕様!$F$4:$F$6,MATCH($E60,センサー仕様!$A$4:$A$6,0)))</f>
        <v>4</v>
      </c>
    </row>
    <row r="61" customFormat="false" ht="15" hidden="false" customHeight="false" outlineLevel="0" collapsed="false">
      <c r="A61" s="5" t="s">
        <v>76</v>
      </c>
      <c r="B61" s="6" t="s">
        <v>71</v>
      </c>
      <c r="C61" s="7" t="n">
        <v>-3840.8</v>
      </c>
      <c r="D61" s="7" t="n">
        <v>14121.5</v>
      </c>
      <c r="E61" s="8" t="s">
        <v>13</v>
      </c>
      <c r="F61" s="9" t="n">
        <f aca="false">IF($E61="なし",0,INDEX(センサー仕様!$C$4:$C$6,MATCH($E61,センサー仕様!$A$4:$A$6,0)))</f>
        <v>40</v>
      </c>
      <c r="G61" s="9" t="n">
        <f aca="false">IF($E61="なし",0,INDEX(センサー仕様!$D$4:$D$6,MATCH($E61,センサー仕様!$A$4:$A$6,0)))</f>
        <v>4.5</v>
      </c>
      <c r="H61" s="9" t="n">
        <f aca="false">IF($E61="なし",0,INDEX(センサー仕様!$E$4:$E$6,MATCH($E61,センサー仕様!$A$4:$A$6,0)))</f>
        <v>1</v>
      </c>
      <c r="I61" s="9" t="n">
        <f aca="false">IF($E61="なし",0,INDEX(センサー仕様!$F$4:$F$6,MATCH($E61,センサー仕様!$A$4:$A$6,0)))</f>
        <v>4</v>
      </c>
    </row>
    <row r="62" customFormat="false" ht="15" hidden="false" customHeight="false" outlineLevel="0" collapsed="false">
      <c r="A62" s="10" t="s">
        <v>77</v>
      </c>
      <c r="B62" s="11" t="s">
        <v>71</v>
      </c>
      <c r="C62" s="12" t="n">
        <v>-6506.1</v>
      </c>
      <c r="D62" s="12" t="n">
        <v>-4635.3</v>
      </c>
      <c r="E62" s="13" t="s">
        <v>13</v>
      </c>
      <c r="F62" s="14" t="n">
        <f aca="false">IF($E62="なし",0,INDEX(センサー仕様!$C$4:$C$6,MATCH($E62,センサー仕様!$A$4:$A$6,0)))</f>
        <v>40</v>
      </c>
      <c r="G62" s="14" t="n">
        <f aca="false">IF($E62="なし",0,INDEX(センサー仕様!$D$4:$D$6,MATCH($E62,センサー仕様!$A$4:$A$6,0)))</f>
        <v>4.5</v>
      </c>
      <c r="H62" s="14" t="n">
        <f aca="false">IF($E62="なし",0,INDEX(センサー仕様!$E$4:$E$6,MATCH($E62,センサー仕様!$A$4:$A$6,0)))</f>
        <v>1</v>
      </c>
      <c r="I62" s="14" t="n">
        <f aca="false">IF($E62="なし",0,INDEX(センサー仕様!$F$4:$F$6,MATCH($E62,センサー仕様!$A$4:$A$6,0)))</f>
        <v>4</v>
      </c>
    </row>
    <row r="63" customFormat="false" ht="15" hidden="false" customHeight="false" outlineLevel="0" collapsed="false">
      <c r="A63" s="5" t="s">
        <v>78</v>
      </c>
      <c r="B63" s="6" t="s">
        <v>71</v>
      </c>
      <c r="C63" s="7" t="n">
        <v>1676.9</v>
      </c>
      <c r="D63" s="7" t="n">
        <v>-9208.9</v>
      </c>
      <c r="E63" s="8" t="s">
        <v>13</v>
      </c>
      <c r="F63" s="9" t="n">
        <f aca="false">IF($E63="なし",0,INDEX(センサー仕様!$C$4:$C$6,MATCH($E63,センサー仕様!$A$4:$A$6,0)))</f>
        <v>40</v>
      </c>
      <c r="G63" s="9" t="n">
        <f aca="false">IF($E63="なし",0,INDEX(センサー仕様!$D$4:$D$6,MATCH($E63,センサー仕様!$A$4:$A$6,0)))</f>
        <v>4.5</v>
      </c>
      <c r="H63" s="9" t="n">
        <f aca="false">IF($E63="なし",0,INDEX(センサー仕様!$E$4:$E$6,MATCH($E63,センサー仕様!$A$4:$A$6,0)))</f>
        <v>1</v>
      </c>
      <c r="I63" s="9" t="n">
        <f aca="false">IF($E63="なし",0,INDEX(センサー仕様!$F$4:$F$6,MATCH($E63,センサー仕様!$A$4:$A$6,0)))</f>
        <v>4</v>
      </c>
    </row>
    <row r="64" customFormat="false" ht="15" hidden="false" customHeight="false" outlineLevel="0" collapsed="false">
      <c r="A64" s="10" t="s">
        <v>79</v>
      </c>
      <c r="B64" s="11" t="s">
        <v>71</v>
      </c>
      <c r="C64" s="12" t="n">
        <v>10082.5</v>
      </c>
      <c r="D64" s="12" t="n">
        <v>-6572</v>
      </c>
      <c r="E64" s="13" t="s">
        <v>22</v>
      </c>
      <c r="F64" s="14" t="n">
        <f aca="false">IF($E64="なし",0,INDEX(センサー仕様!$C$4:$C$6,MATCH($E64,センサー仕様!$A$4:$A$6,0)))</f>
        <v>300</v>
      </c>
      <c r="G64" s="14" t="n">
        <f aca="false">IF($E64="なし",0,INDEX(センサー仕様!$D$4:$D$6,MATCH($E64,センサー仕様!$A$4:$A$6,0)))</f>
        <v>18</v>
      </c>
      <c r="H64" s="14" t="n">
        <f aca="false">IF($E64="なし",0,INDEX(センサー仕様!$E$4:$E$6,MATCH($E64,センサー仕様!$A$4:$A$6,0)))</f>
        <v>5</v>
      </c>
      <c r="I64" s="14" t="n">
        <f aca="false">IF($E64="なし",0,INDEX(センサー仕様!$F$4:$F$6,MATCH($E64,センサー仕様!$A$4:$A$6,0)))</f>
        <v>1</v>
      </c>
    </row>
    <row r="65" customFormat="false" ht="15" hidden="false" customHeight="false" outlineLevel="0" collapsed="false">
      <c r="A65" s="5" t="s">
        <v>80</v>
      </c>
      <c r="B65" s="6" t="s">
        <v>81</v>
      </c>
      <c r="C65" s="7" t="n">
        <v>31826.6</v>
      </c>
      <c r="D65" s="7" t="n">
        <v>-13120.9</v>
      </c>
      <c r="E65" s="8" t="s">
        <v>13</v>
      </c>
      <c r="F65" s="9" t="n">
        <f aca="false">IF($E65="なし",0,INDEX(センサー仕様!$C$4:$C$6,MATCH($E65,センサー仕様!$A$4:$A$6,0)))</f>
        <v>40</v>
      </c>
      <c r="G65" s="9" t="n">
        <f aca="false">IF($E65="なし",0,INDEX(センサー仕様!$D$4:$D$6,MATCH($E65,センサー仕様!$A$4:$A$6,0)))</f>
        <v>4.5</v>
      </c>
      <c r="H65" s="9" t="n">
        <f aca="false">IF($E65="なし",0,INDEX(センサー仕様!$E$4:$E$6,MATCH($E65,センサー仕様!$A$4:$A$6,0)))</f>
        <v>1</v>
      </c>
      <c r="I65" s="9" t="n">
        <f aca="false">IF($E65="なし",0,INDEX(センサー仕様!$F$4:$F$6,MATCH($E65,センサー仕様!$A$4:$A$6,0)))</f>
        <v>4</v>
      </c>
    </row>
    <row r="66" customFormat="false" ht="15" hidden="false" customHeight="false" outlineLevel="0" collapsed="false">
      <c r="A66" s="10" t="s">
        <v>82</v>
      </c>
      <c r="B66" s="11" t="s">
        <v>81</v>
      </c>
      <c r="C66" s="12" t="n">
        <v>21568.7</v>
      </c>
      <c r="D66" s="12" t="n">
        <v>401.4</v>
      </c>
      <c r="E66" s="13" t="s">
        <v>13</v>
      </c>
      <c r="F66" s="14" t="n">
        <f aca="false">IF($E66="なし",0,INDEX(センサー仕様!$C$4:$C$6,MATCH($E66,センサー仕様!$A$4:$A$6,0)))</f>
        <v>40</v>
      </c>
      <c r="G66" s="14" t="n">
        <f aca="false">IF($E66="なし",0,INDEX(センサー仕様!$D$4:$D$6,MATCH($E66,センサー仕様!$A$4:$A$6,0)))</f>
        <v>4.5</v>
      </c>
      <c r="H66" s="14" t="n">
        <f aca="false">IF($E66="なし",0,INDEX(センサー仕様!$E$4:$E$6,MATCH($E66,センサー仕様!$A$4:$A$6,0)))</f>
        <v>1</v>
      </c>
      <c r="I66" s="14" t="n">
        <f aca="false">IF($E66="なし",0,INDEX(センサー仕様!$F$4:$F$6,MATCH($E66,センサー仕様!$A$4:$A$6,0)))</f>
        <v>4</v>
      </c>
    </row>
    <row r="67" customFormat="false" ht="15" hidden="false" customHeight="false" outlineLevel="0" collapsed="false">
      <c r="A67" s="5" t="s">
        <v>83</v>
      </c>
      <c r="B67" s="6" t="s">
        <v>81</v>
      </c>
      <c r="C67" s="7" t="n">
        <v>33631.2</v>
      </c>
      <c r="D67" s="7" t="n">
        <v>-2445.4</v>
      </c>
      <c r="E67" s="8" t="s">
        <v>13</v>
      </c>
      <c r="F67" s="9" t="n">
        <f aca="false">IF($E67="なし",0,INDEX(センサー仕様!$C$4:$C$6,MATCH($E67,センサー仕様!$A$4:$A$6,0)))</f>
        <v>40</v>
      </c>
      <c r="G67" s="9" t="n">
        <f aca="false">IF($E67="なし",0,INDEX(センサー仕様!$D$4:$D$6,MATCH($E67,センサー仕様!$A$4:$A$6,0)))</f>
        <v>4.5</v>
      </c>
      <c r="H67" s="9" t="n">
        <f aca="false">IF($E67="なし",0,INDEX(センサー仕様!$E$4:$E$6,MATCH($E67,センサー仕様!$A$4:$A$6,0)))</f>
        <v>1</v>
      </c>
      <c r="I67" s="9" t="n">
        <f aca="false">IF($E67="なし",0,INDEX(センサー仕様!$F$4:$F$6,MATCH($E67,センサー仕様!$A$4:$A$6,0)))</f>
        <v>4</v>
      </c>
    </row>
    <row r="68" customFormat="false" ht="15" hidden="false" customHeight="false" outlineLevel="0" collapsed="false">
      <c r="A68" s="10" t="s">
        <v>84</v>
      </c>
      <c r="B68" s="11" t="s">
        <v>81</v>
      </c>
      <c r="C68" s="12" t="n">
        <v>27298.4</v>
      </c>
      <c r="D68" s="12" t="n">
        <v>-1500.9</v>
      </c>
      <c r="E68" s="13" t="s">
        <v>13</v>
      </c>
      <c r="F68" s="14" t="n">
        <f aca="false">IF($E68="なし",0,INDEX(センサー仕様!$C$4:$C$6,MATCH($E68,センサー仕様!$A$4:$A$6,0)))</f>
        <v>40</v>
      </c>
      <c r="G68" s="14" t="n">
        <f aca="false">IF($E68="なし",0,INDEX(センサー仕様!$D$4:$D$6,MATCH($E68,センサー仕様!$A$4:$A$6,0)))</f>
        <v>4.5</v>
      </c>
      <c r="H68" s="14" t="n">
        <f aca="false">IF($E68="なし",0,INDEX(センサー仕様!$E$4:$E$6,MATCH($E68,センサー仕様!$A$4:$A$6,0)))</f>
        <v>1</v>
      </c>
      <c r="I68" s="14" t="n">
        <f aca="false">IF($E68="なし",0,INDEX(センサー仕様!$F$4:$F$6,MATCH($E68,センサー仕様!$A$4:$A$6,0)))</f>
        <v>4</v>
      </c>
    </row>
    <row r="69" customFormat="false" ht="15" hidden="false" customHeight="false" outlineLevel="0" collapsed="false">
      <c r="A69" s="5" t="s">
        <v>85</v>
      </c>
      <c r="B69" s="6" t="s">
        <v>81</v>
      </c>
      <c r="C69" s="7" t="n">
        <v>34554.5</v>
      </c>
      <c r="D69" s="7" t="n">
        <v>-7934.6</v>
      </c>
      <c r="E69" s="8" t="s">
        <v>13</v>
      </c>
      <c r="F69" s="9" t="n">
        <f aca="false">IF($E69="なし",0,INDEX(センサー仕様!$C$4:$C$6,MATCH($E69,センサー仕様!$A$4:$A$6,0)))</f>
        <v>40</v>
      </c>
      <c r="G69" s="9" t="n">
        <f aca="false">IF($E69="なし",0,INDEX(センサー仕様!$D$4:$D$6,MATCH($E69,センサー仕様!$A$4:$A$6,0)))</f>
        <v>4.5</v>
      </c>
      <c r="H69" s="9" t="n">
        <f aca="false">IF($E69="なし",0,INDEX(センサー仕様!$E$4:$E$6,MATCH($E69,センサー仕様!$A$4:$A$6,0)))</f>
        <v>1</v>
      </c>
      <c r="I69" s="9" t="n">
        <f aca="false">IF($E69="なし",0,INDEX(センサー仕様!$F$4:$F$6,MATCH($E69,センサー仕様!$A$4:$A$6,0)))</f>
        <v>4</v>
      </c>
    </row>
    <row r="70" customFormat="false" ht="15" hidden="false" customHeight="false" outlineLevel="0" collapsed="false">
      <c r="A70" s="10" t="s">
        <v>86</v>
      </c>
      <c r="B70" s="11" t="s">
        <v>81</v>
      </c>
      <c r="C70" s="12" t="n">
        <v>28328</v>
      </c>
      <c r="D70" s="12" t="n">
        <v>-7166.6</v>
      </c>
      <c r="E70" s="13" t="s">
        <v>13</v>
      </c>
      <c r="F70" s="14" t="n">
        <f aca="false">IF($E70="なし",0,INDEX(センサー仕様!$C$4:$C$6,MATCH($E70,センサー仕様!$A$4:$A$6,0)))</f>
        <v>40</v>
      </c>
      <c r="G70" s="14" t="n">
        <f aca="false">IF($E70="なし",0,INDEX(センサー仕様!$D$4:$D$6,MATCH($E70,センサー仕様!$A$4:$A$6,0)))</f>
        <v>4.5</v>
      </c>
      <c r="H70" s="14" t="n">
        <f aca="false">IF($E70="なし",0,INDEX(センサー仕様!$E$4:$E$6,MATCH($E70,センサー仕様!$A$4:$A$6,0)))</f>
        <v>1</v>
      </c>
      <c r="I70" s="14" t="n">
        <f aca="false">IF($E70="なし",0,INDEX(センサー仕様!$F$4:$F$6,MATCH($E70,センサー仕様!$A$4:$A$6,0)))</f>
        <v>4</v>
      </c>
    </row>
    <row r="71" customFormat="false" ht="15" hidden="false" customHeight="false" outlineLevel="0" collapsed="false">
      <c r="A71" s="5" t="s">
        <v>87</v>
      </c>
      <c r="B71" s="6" t="s">
        <v>81</v>
      </c>
      <c r="C71" s="7" t="n">
        <v>18351.6</v>
      </c>
      <c r="D71" s="7" t="n">
        <v>-20108.8</v>
      </c>
      <c r="E71" s="8" t="s">
        <v>13</v>
      </c>
      <c r="F71" s="9" t="n">
        <f aca="false">IF($E71="なし",0,INDEX(センサー仕様!$C$4:$C$6,MATCH($E71,センサー仕様!$A$4:$A$6,0)))</f>
        <v>40</v>
      </c>
      <c r="G71" s="9" t="n">
        <f aca="false">IF($E71="なし",0,INDEX(センサー仕様!$D$4:$D$6,MATCH($E71,センサー仕様!$A$4:$A$6,0)))</f>
        <v>4.5</v>
      </c>
      <c r="H71" s="9" t="n">
        <f aca="false">IF($E71="なし",0,INDEX(センサー仕様!$E$4:$E$6,MATCH($E71,センサー仕様!$A$4:$A$6,0)))</f>
        <v>1</v>
      </c>
      <c r="I71" s="9" t="n">
        <f aca="false">IF($E71="なし",0,INDEX(センサー仕様!$F$4:$F$6,MATCH($E71,センサー仕様!$A$4:$A$6,0)))</f>
        <v>4</v>
      </c>
    </row>
    <row r="72" customFormat="false" ht="15" hidden="false" customHeight="false" outlineLevel="0" collapsed="false">
      <c r="A72" s="10" t="s">
        <v>88</v>
      </c>
      <c r="B72" s="11" t="s">
        <v>81</v>
      </c>
      <c r="C72" s="12" t="n">
        <v>14402.1</v>
      </c>
      <c r="D72" s="12" t="n">
        <v>-10434.4</v>
      </c>
      <c r="E72" s="13" t="s">
        <v>13</v>
      </c>
      <c r="F72" s="14" t="n">
        <f aca="false">IF($E72="なし",0,INDEX(センサー仕様!$C$4:$C$6,MATCH($E72,センサー仕様!$A$4:$A$6,0)))</f>
        <v>40</v>
      </c>
      <c r="G72" s="14" t="n">
        <f aca="false">IF($E72="なし",0,INDEX(センサー仕様!$D$4:$D$6,MATCH($E72,センサー仕様!$A$4:$A$6,0)))</f>
        <v>4.5</v>
      </c>
      <c r="H72" s="14" t="n">
        <f aca="false">IF($E72="なし",0,INDEX(センサー仕様!$E$4:$E$6,MATCH($E72,センサー仕様!$A$4:$A$6,0)))</f>
        <v>1</v>
      </c>
      <c r="I72" s="14" t="n">
        <f aca="false">IF($E72="なし",0,INDEX(センサー仕様!$F$4:$F$6,MATCH($E72,センサー仕様!$A$4:$A$6,0)))</f>
        <v>4</v>
      </c>
    </row>
    <row r="73" customFormat="false" ht="15" hidden="false" customHeight="false" outlineLevel="0" collapsed="false">
      <c r="A73" s="5" t="s">
        <v>89</v>
      </c>
      <c r="B73" s="6" t="s">
        <v>81</v>
      </c>
      <c r="C73" s="7" t="n">
        <v>22190.7</v>
      </c>
      <c r="D73" s="7" t="n">
        <v>-9343.8</v>
      </c>
      <c r="E73" s="8" t="s">
        <v>13</v>
      </c>
      <c r="F73" s="9" t="n">
        <f aca="false">IF($E73="なし",0,INDEX(センサー仕様!$C$4:$C$6,MATCH($E73,センサー仕様!$A$4:$A$6,0)))</f>
        <v>40</v>
      </c>
      <c r="G73" s="9" t="n">
        <f aca="false">IF($E73="なし",0,INDEX(センサー仕様!$D$4:$D$6,MATCH($E73,センサー仕様!$A$4:$A$6,0)))</f>
        <v>4.5</v>
      </c>
      <c r="H73" s="9" t="n">
        <f aca="false">IF($E73="なし",0,INDEX(センサー仕様!$E$4:$E$6,MATCH($E73,センサー仕様!$A$4:$A$6,0)))</f>
        <v>1</v>
      </c>
      <c r="I73" s="9" t="n">
        <f aca="false">IF($E73="なし",0,INDEX(センサー仕様!$F$4:$F$6,MATCH($E73,センサー仕様!$A$4:$A$6,0)))</f>
        <v>4</v>
      </c>
    </row>
    <row r="74" customFormat="false" ht="15" hidden="false" customHeight="false" outlineLevel="0" collapsed="false">
      <c r="A74" s="10" t="s">
        <v>90</v>
      </c>
      <c r="B74" s="11" t="s">
        <v>81</v>
      </c>
      <c r="C74" s="12" t="n">
        <v>17909.1</v>
      </c>
      <c r="D74" s="12" t="n">
        <v>-2692.3</v>
      </c>
      <c r="E74" s="13" t="s">
        <v>13</v>
      </c>
      <c r="F74" s="14" t="n">
        <f aca="false">IF($E74="なし",0,INDEX(センサー仕様!$C$4:$C$6,MATCH($E74,センサー仕様!$A$4:$A$6,0)))</f>
        <v>40</v>
      </c>
      <c r="G74" s="14" t="n">
        <f aca="false">IF($E74="なし",0,INDEX(センサー仕様!$D$4:$D$6,MATCH($E74,センサー仕様!$A$4:$A$6,0)))</f>
        <v>4.5</v>
      </c>
      <c r="H74" s="14" t="n">
        <f aca="false">IF($E74="なし",0,INDEX(センサー仕様!$E$4:$E$6,MATCH($E74,センサー仕様!$A$4:$A$6,0)))</f>
        <v>1</v>
      </c>
      <c r="I74" s="14" t="n">
        <f aca="false">IF($E74="なし",0,INDEX(センサー仕様!$F$4:$F$6,MATCH($E74,センサー仕様!$A$4:$A$6,0)))</f>
        <v>4</v>
      </c>
    </row>
    <row r="75" customFormat="false" ht="15" hidden="false" customHeight="false" outlineLevel="0" collapsed="false">
      <c r="A75" s="5" t="s">
        <v>91</v>
      </c>
      <c r="B75" s="6" t="s">
        <v>81</v>
      </c>
      <c r="C75" s="7" t="n">
        <v>33010.6</v>
      </c>
      <c r="D75" s="7" t="n">
        <v>1948</v>
      </c>
      <c r="E75" s="8" t="s">
        <v>17</v>
      </c>
      <c r="F75" s="9" t="n">
        <f aca="false">IF($E75="なし",0,INDEX(センサー仕様!$C$4:$C$6,MATCH($E75,センサー仕様!$A$4:$A$6,0)))</f>
        <v>100</v>
      </c>
      <c r="G75" s="9" t="n">
        <f aca="false">IF($E75="なし",0,INDEX(センサー仕様!$D$4:$D$6,MATCH($E75,センサー仕様!$A$4:$A$6,0)))</f>
        <v>10</v>
      </c>
      <c r="H75" s="9" t="n">
        <f aca="false">IF($E75="なし",0,INDEX(センサー仕様!$E$4:$E$6,MATCH($E75,センサー仕様!$A$4:$A$6,0)))</f>
        <v>2</v>
      </c>
      <c r="I75" s="9" t="n">
        <f aca="false">IF($E75="なし",0,INDEX(センサー仕様!$F$4:$F$6,MATCH($E75,センサー仕様!$A$4:$A$6,0)))</f>
        <v>2</v>
      </c>
    </row>
    <row r="76" customFormat="false" ht="15" hidden="false" customHeight="false" outlineLevel="0" collapsed="false">
      <c r="A76" s="10" t="s">
        <v>92</v>
      </c>
      <c r="B76" s="11" t="s">
        <v>81</v>
      </c>
      <c r="C76" s="12" t="n">
        <v>23034.7</v>
      </c>
      <c r="D76" s="12" t="n">
        <v>-4431.7</v>
      </c>
      <c r="E76" s="13" t="s">
        <v>13</v>
      </c>
      <c r="F76" s="14" t="n">
        <f aca="false">IF($E76="なし",0,INDEX(センサー仕様!$C$4:$C$6,MATCH($E76,センサー仕様!$A$4:$A$6,0)))</f>
        <v>40</v>
      </c>
      <c r="G76" s="14" t="n">
        <f aca="false">IF($E76="なし",0,INDEX(センサー仕様!$D$4:$D$6,MATCH($E76,センサー仕様!$A$4:$A$6,0)))</f>
        <v>4.5</v>
      </c>
      <c r="H76" s="14" t="n">
        <f aca="false">IF($E76="なし",0,INDEX(センサー仕様!$E$4:$E$6,MATCH($E76,センサー仕様!$A$4:$A$6,0)))</f>
        <v>1</v>
      </c>
      <c r="I76" s="14" t="n">
        <f aca="false">IF($E76="なし",0,INDEX(センサー仕様!$F$4:$F$6,MATCH($E76,センサー仕様!$A$4:$A$6,0)))</f>
        <v>4</v>
      </c>
    </row>
    <row r="77" customFormat="false" ht="15" hidden="false" customHeight="false" outlineLevel="0" collapsed="false">
      <c r="A77" s="5" t="s">
        <v>93</v>
      </c>
      <c r="B77" s="6" t="s">
        <v>81</v>
      </c>
      <c r="C77" s="7" t="n">
        <v>43181.7</v>
      </c>
      <c r="D77" s="7" t="n">
        <v>-471.3</v>
      </c>
      <c r="E77" s="8" t="s">
        <v>17</v>
      </c>
      <c r="F77" s="9" t="n">
        <f aca="false">IF($E77="なし",0,INDEX(センサー仕様!$C$4:$C$6,MATCH($E77,センサー仕様!$A$4:$A$6,0)))</f>
        <v>100</v>
      </c>
      <c r="G77" s="9" t="n">
        <f aca="false">IF($E77="なし",0,INDEX(センサー仕様!$D$4:$D$6,MATCH($E77,センサー仕様!$A$4:$A$6,0)))</f>
        <v>10</v>
      </c>
      <c r="H77" s="9" t="n">
        <f aca="false">IF($E77="なし",0,INDEX(センサー仕様!$E$4:$E$6,MATCH($E77,センサー仕様!$A$4:$A$6,0)))</f>
        <v>2</v>
      </c>
      <c r="I77" s="9" t="n">
        <f aca="false">IF($E77="なし",0,INDEX(センサー仕様!$F$4:$F$6,MATCH($E77,センサー仕様!$A$4:$A$6,0)))</f>
        <v>2</v>
      </c>
    </row>
    <row r="78" customFormat="false" ht="15" hidden="false" customHeight="false" outlineLevel="0" collapsed="false">
      <c r="A78" s="10" t="s">
        <v>94</v>
      </c>
      <c r="B78" s="11" t="s">
        <v>95</v>
      </c>
      <c r="C78" s="12" t="n">
        <v>23463.4</v>
      </c>
      <c r="D78" s="12" t="n">
        <v>11067.5</v>
      </c>
      <c r="E78" s="13" t="s">
        <v>13</v>
      </c>
      <c r="F78" s="14" t="n">
        <f aca="false">IF($E78="なし",0,INDEX(センサー仕様!$C$4:$C$6,MATCH($E78,センサー仕様!$A$4:$A$6,0)))</f>
        <v>40</v>
      </c>
      <c r="G78" s="14" t="n">
        <f aca="false">IF($E78="なし",0,INDEX(センサー仕様!$D$4:$D$6,MATCH($E78,センサー仕様!$A$4:$A$6,0)))</f>
        <v>4.5</v>
      </c>
      <c r="H78" s="14" t="n">
        <f aca="false">IF($E78="なし",0,INDEX(センサー仕様!$E$4:$E$6,MATCH($E78,センサー仕様!$A$4:$A$6,0)))</f>
        <v>1</v>
      </c>
      <c r="I78" s="14" t="n">
        <f aca="false">IF($E78="なし",0,INDEX(センサー仕様!$F$4:$F$6,MATCH($E78,センサー仕様!$A$4:$A$6,0)))</f>
        <v>4</v>
      </c>
    </row>
    <row r="79" customFormat="false" ht="15" hidden="false" customHeight="false" outlineLevel="0" collapsed="false">
      <c r="A79" s="5" t="s">
        <v>96</v>
      </c>
      <c r="B79" s="6" t="s">
        <v>95</v>
      </c>
      <c r="C79" s="7" t="n">
        <v>33808</v>
      </c>
      <c r="D79" s="7" t="n">
        <v>9234.3</v>
      </c>
      <c r="E79" s="15" t="s">
        <v>97</v>
      </c>
      <c r="F79" s="9" t="n">
        <f aca="false">IF($E79="なし",0,INDEX(センサー仕様!$C$4:$C$6,MATCH($E79,センサー仕様!$A$4:$A$6,0)))</f>
        <v>0</v>
      </c>
      <c r="G79" s="9" t="n">
        <f aca="false">IF($E79="なし",0,INDEX(センサー仕様!$D$4:$D$6,MATCH($E79,センサー仕様!$A$4:$A$6,0)))</f>
        <v>0</v>
      </c>
      <c r="H79" s="9" t="n">
        <f aca="false">IF($E79="なし",0,INDEX(センサー仕様!$E$4:$E$6,MATCH($E79,センサー仕様!$A$4:$A$6,0)))</f>
        <v>0</v>
      </c>
      <c r="I79" s="9" t="n">
        <f aca="false">IF($E79="なし",0,INDEX(センサー仕様!$F$4:$F$6,MATCH($E79,センサー仕様!$A$4:$A$6,0)))</f>
        <v>0</v>
      </c>
    </row>
    <row r="80" customFormat="false" ht="15" hidden="false" customHeight="false" outlineLevel="0" collapsed="false">
      <c r="A80" s="10" t="s">
        <v>98</v>
      </c>
      <c r="B80" s="11" t="s">
        <v>95</v>
      </c>
      <c r="C80" s="12" t="n">
        <v>37255.6</v>
      </c>
      <c r="D80" s="12" t="n">
        <v>20362.1</v>
      </c>
      <c r="E80" s="13" t="s">
        <v>13</v>
      </c>
      <c r="F80" s="14" t="n">
        <f aca="false">IF($E80="なし",0,INDEX(センサー仕様!$C$4:$C$6,MATCH($E80,センサー仕様!$A$4:$A$6,0)))</f>
        <v>40</v>
      </c>
      <c r="G80" s="14" t="n">
        <f aca="false">IF($E80="なし",0,INDEX(センサー仕様!$D$4:$D$6,MATCH($E80,センサー仕様!$A$4:$A$6,0)))</f>
        <v>4.5</v>
      </c>
      <c r="H80" s="14" t="n">
        <f aca="false">IF($E80="なし",0,INDEX(センサー仕様!$E$4:$E$6,MATCH($E80,センサー仕様!$A$4:$A$6,0)))</f>
        <v>1</v>
      </c>
      <c r="I80" s="14" t="n">
        <f aca="false">IF($E80="なし",0,INDEX(センサー仕様!$F$4:$F$6,MATCH($E80,センサー仕様!$A$4:$A$6,0)))</f>
        <v>4</v>
      </c>
    </row>
    <row r="81" customFormat="false" ht="15" hidden="false" customHeight="false" outlineLevel="0" collapsed="false">
      <c r="A81" s="5" t="s">
        <v>99</v>
      </c>
      <c r="B81" s="6" t="s">
        <v>95</v>
      </c>
      <c r="C81" s="7" t="n">
        <v>31494.9</v>
      </c>
      <c r="D81" s="7" t="n">
        <v>16272.4</v>
      </c>
      <c r="E81" s="8" t="s">
        <v>13</v>
      </c>
      <c r="F81" s="9" t="n">
        <f aca="false">IF($E81="なし",0,INDEX(センサー仕様!$C$4:$C$6,MATCH($E81,センサー仕様!$A$4:$A$6,0)))</f>
        <v>40</v>
      </c>
      <c r="G81" s="9" t="n">
        <f aca="false">IF($E81="なし",0,INDEX(センサー仕様!$D$4:$D$6,MATCH($E81,センサー仕様!$A$4:$A$6,0)))</f>
        <v>4.5</v>
      </c>
      <c r="H81" s="9" t="n">
        <f aca="false">IF($E81="なし",0,INDEX(センサー仕様!$E$4:$E$6,MATCH($E81,センサー仕様!$A$4:$A$6,0)))</f>
        <v>1</v>
      </c>
      <c r="I81" s="9" t="n">
        <f aca="false">IF($E81="なし",0,INDEX(センサー仕様!$F$4:$F$6,MATCH($E81,センサー仕様!$A$4:$A$6,0)))</f>
        <v>4</v>
      </c>
    </row>
    <row r="82" customFormat="false" ht="15" hidden="false" customHeight="false" outlineLevel="0" collapsed="false">
      <c r="A82" s="10" t="s">
        <v>100</v>
      </c>
      <c r="B82" s="11" t="s">
        <v>95</v>
      </c>
      <c r="C82" s="12" t="n">
        <v>25749.8</v>
      </c>
      <c r="D82" s="12" t="n">
        <v>18159.3</v>
      </c>
      <c r="E82" s="13" t="s">
        <v>13</v>
      </c>
      <c r="F82" s="14" t="n">
        <f aca="false">IF($E82="なし",0,INDEX(センサー仕様!$C$4:$C$6,MATCH($E82,センサー仕様!$A$4:$A$6,0)))</f>
        <v>40</v>
      </c>
      <c r="G82" s="14" t="n">
        <f aca="false">IF($E82="なし",0,INDEX(センサー仕様!$D$4:$D$6,MATCH($E82,センサー仕様!$A$4:$A$6,0)))</f>
        <v>4.5</v>
      </c>
      <c r="H82" s="14" t="n">
        <f aca="false">IF($E82="なし",0,INDEX(センサー仕様!$E$4:$E$6,MATCH($E82,センサー仕様!$A$4:$A$6,0)))</f>
        <v>1</v>
      </c>
      <c r="I82" s="14" t="n">
        <f aca="false">IF($E82="なし",0,INDEX(センサー仕様!$F$4:$F$6,MATCH($E82,センサー仕様!$A$4:$A$6,0)))</f>
        <v>4</v>
      </c>
    </row>
    <row r="83" customFormat="false" ht="15" hidden="false" customHeight="false" outlineLevel="0" collapsed="false">
      <c r="A83" s="5" t="s">
        <v>101</v>
      </c>
      <c r="B83" s="6" t="s">
        <v>95</v>
      </c>
      <c r="C83" s="7" t="n">
        <v>28473.1</v>
      </c>
      <c r="D83" s="7" t="n">
        <v>21746.1</v>
      </c>
      <c r="E83" s="8" t="s">
        <v>13</v>
      </c>
      <c r="F83" s="9" t="n">
        <f aca="false">IF($E83="なし",0,INDEX(センサー仕様!$C$4:$C$6,MATCH($E83,センサー仕様!$A$4:$A$6,0)))</f>
        <v>40</v>
      </c>
      <c r="G83" s="9" t="n">
        <f aca="false">IF($E83="なし",0,INDEX(センサー仕様!$D$4:$D$6,MATCH($E83,センサー仕様!$A$4:$A$6,0)))</f>
        <v>4.5</v>
      </c>
      <c r="H83" s="9" t="n">
        <f aca="false">IF($E83="なし",0,INDEX(センサー仕様!$E$4:$E$6,MATCH($E83,センサー仕様!$A$4:$A$6,0)))</f>
        <v>1</v>
      </c>
      <c r="I83" s="9" t="n">
        <f aca="false">IF($E83="なし",0,INDEX(センサー仕様!$F$4:$F$6,MATCH($E83,センサー仕様!$A$4:$A$6,0)))</f>
        <v>4</v>
      </c>
    </row>
    <row r="84" customFormat="false" ht="15" hidden="false" customHeight="false" outlineLevel="0" collapsed="false">
      <c r="A84" s="10" t="s">
        <v>102</v>
      </c>
      <c r="B84" s="11" t="s">
        <v>95</v>
      </c>
      <c r="C84" s="12" t="n">
        <v>21114.7</v>
      </c>
      <c r="D84" s="12" t="n">
        <v>20769.7</v>
      </c>
      <c r="E84" s="13" t="s">
        <v>13</v>
      </c>
      <c r="F84" s="14" t="n">
        <f aca="false">IF($E84="なし",0,INDEX(センサー仕様!$C$4:$C$6,MATCH($E84,センサー仕様!$A$4:$A$6,0)))</f>
        <v>40</v>
      </c>
      <c r="G84" s="14" t="n">
        <f aca="false">IF($E84="なし",0,INDEX(センサー仕様!$D$4:$D$6,MATCH($E84,センサー仕様!$A$4:$A$6,0)))</f>
        <v>4.5</v>
      </c>
      <c r="H84" s="14" t="n">
        <f aca="false">IF($E84="なし",0,INDEX(センサー仕様!$E$4:$E$6,MATCH($E84,センサー仕様!$A$4:$A$6,0)))</f>
        <v>1</v>
      </c>
      <c r="I84" s="14" t="n">
        <f aca="false">IF($E84="なし",0,INDEX(センサー仕様!$F$4:$F$6,MATCH($E84,センサー仕様!$A$4:$A$6,0)))</f>
        <v>4</v>
      </c>
    </row>
    <row r="85" customFormat="false" ht="15" hidden="false" customHeight="false" outlineLevel="0" collapsed="false">
      <c r="A85" s="5" t="s">
        <v>103</v>
      </c>
      <c r="B85" s="6" t="s">
        <v>95</v>
      </c>
      <c r="C85" s="7" t="n">
        <v>32795.8</v>
      </c>
      <c r="D85" s="7" t="n">
        <v>25496.8</v>
      </c>
      <c r="E85" s="8" t="s">
        <v>13</v>
      </c>
      <c r="F85" s="9" t="n">
        <f aca="false">IF($E85="なし",0,INDEX(センサー仕様!$C$4:$C$6,MATCH($E85,センサー仕様!$A$4:$A$6,0)))</f>
        <v>40</v>
      </c>
      <c r="G85" s="9" t="n">
        <f aca="false">IF($E85="なし",0,INDEX(センサー仕様!$D$4:$D$6,MATCH($E85,センサー仕様!$A$4:$A$6,0)))</f>
        <v>4.5</v>
      </c>
      <c r="H85" s="9" t="n">
        <f aca="false">IF($E85="なし",0,INDEX(センサー仕様!$E$4:$E$6,MATCH($E85,センサー仕様!$A$4:$A$6,0)))</f>
        <v>1</v>
      </c>
      <c r="I85" s="9" t="n">
        <f aca="false">IF($E85="なし",0,INDEX(センサー仕様!$F$4:$F$6,MATCH($E85,センサー仕様!$A$4:$A$6,0)))</f>
        <v>4</v>
      </c>
    </row>
    <row r="86" customFormat="false" ht="15" hidden="false" customHeight="false" outlineLevel="0" collapsed="false">
      <c r="A86" s="10" t="s">
        <v>104</v>
      </c>
      <c r="B86" s="11" t="s">
        <v>95</v>
      </c>
      <c r="C86" s="12" t="n">
        <v>23930.3</v>
      </c>
      <c r="D86" s="12" t="n">
        <v>28581.4</v>
      </c>
      <c r="E86" s="13" t="s">
        <v>13</v>
      </c>
      <c r="F86" s="14" t="n">
        <f aca="false">IF($E86="なし",0,INDEX(センサー仕様!$C$4:$C$6,MATCH($E86,センサー仕様!$A$4:$A$6,0)))</f>
        <v>40</v>
      </c>
      <c r="G86" s="14" t="n">
        <f aca="false">IF($E86="なし",0,INDEX(センサー仕様!$D$4:$D$6,MATCH($E86,センサー仕様!$A$4:$A$6,0)))</f>
        <v>4.5</v>
      </c>
      <c r="H86" s="14" t="n">
        <f aca="false">IF($E86="なし",0,INDEX(センサー仕様!$E$4:$E$6,MATCH($E86,センサー仕様!$A$4:$A$6,0)))</f>
        <v>1</v>
      </c>
      <c r="I86" s="14" t="n">
        <f aca="false">IF($E86="なし",0,INDEX(センサー仕様!$F$4:$F$6,MATCH($E86,センサー仕様!$A$4:$A$6,0)))</f>
        <v>4</v>
      </c>
    </row>
    <row r="87" customFormat="false" ht="15" hidden="false" customHeight="false" outlineLevel="0" collapsed="false">
      <c r="A87" s="5" t="s">
        <v>105</v>
      </c>
      <c r="B87" s="6" t="s">
        <v>95</v>
      </c>
      <c r="C87" s="7" t="n">
        <v>25119</v>
      </c>
      <c r="D87" s="7" t="n">
        <v>25176.6</v>
      </c>
      <c r="E87" s="8" t="s">
        <v>13</v>
      </c>
      <c r="F87" s="9" t="n">
        <f aca="false">IF($E87="なし",0,INDEX(センサー仕様!$C$4:$C$6,MATCH($E87,センサー仕様!$A$4:$A$6,0)))</f>
        <v>40</v>
      </c>
      <c r="G87" s="9" t="n">
        <f aca="false">IF($E87="なし",0,INDEX(センサー仕様!$D$4:$D$6,MATCH($E87,センサー仕様!$A$4:$A$6,0)))</f>
        <v>4.5</v>
      </c>
      <c r="H87" s="9" t="n">
        <f aca="false">IF($E87="なし",0,INDEX(センサー仕様!$E$4:$E$6,MATCH($E87,センサー仕様!$A$4:$A$6,0)))</f>
        <v>1</v>
      </c>
      <c r="I87" s="9" t="n">
        <f aca="false">IF($E87="なし",0,INDEX(センサー仕様!$F$4:$F$6,MATCH($E87,センサー仕様!$A$4:$A$6,0)))</f>
        <v>4</v>
      </c>
    </row>
    <row r="88" customFormat="false" ht="15" hidden="false" customHeight="false" outlineLevel="0" collapsed="false">
      <c r="A88" s="10" t="s">
        <v>106</v>
      </c>
      <c r="B88" s="11" t="s">
        <v>95</v>
      </c>
      <c r="C88" s="12" t="n">
        <v>27690</v>
      </c>
      <c r="D88" s="12" t="n">
        <v>26679.3</v>
      </c>
      <c r="E88" s="13" t="s">
        <v>13</v>
      </c>
      <c r="F88" s="14" t="n">
        <f aca="false">IF($E88="なし",0,INDEX(センサー仕様!$C$4:$C$6,MATCH($E88,センサー仕様!$A$4:$A$6,0)))</f>
        <v>40</v>
      </c>
      <c r="G88" s="14" t="n">
        <f aca="false">IF($E88="なし",0,INDEX(センサー仕様!$D$4:$D$6,MATCH($E88,センサー仕様!$A$4:$A$6,0)))</f>
        <v>4.5</v>
      </c>
      <c r="H88" s="14" t="n">
        <f aca="false">IF($E88="なし",0,INDEX(センサー仕様!$E$4:$E$6,MATCH($E88,センサー仕様!$A$4:$A$6,0)))</f>
        <v>1</v>
      </c>
      <c r="I88" s="14" t="n">
        <f aca="false">IF($E88="なし",0,INDEX(センサー仕様!$F$4:$F$6,MATCH($E88,センサー仕様!$A$4:$A$6,0)))</f>
        <v>4</v>
      </c>
    </row>
    <row r="89" customFormat="false" ht="15" hidden="false" customHeight="false" outlineLevel="0" collapsed="false">
      <c r="A89" s="5" t="s">
        <v>107</v>
      </c>
      <c r="B89" s="6" t="s">
        <v>95</v>
      </c>
      <c r="C89" s="7" t="n">
        <v>27345</v>
      </c>
      <c r="D89" s="7" t="n">
        <v>38065.1</v>
      </c>
      <c r="E89" s="8" t="s">
        <v>13</v>
      </c>
      <c r="F89" s="9" t="n">
        <f aca="false">IF($E89="なし",0,INDEX(センサー仕様!$C$4:$C$6,MATCH($E89,センサー仕様!$A$4:$A$6,0)))</f>
        <v>40</v>
      </c>
      <c r="G89" s="9" t="n">
        <f aca="false">IF($E89="なし",0,INDEX(センサー仕様!$D$4:$D$6,MATCH($E89,センサー仕様!$A$4:$A$6,0)))</f>
        <v>4.5</v>
      </c>
      <c r="H89" s="9" t="n">
        <f aca="false">IF($E89="なし",0,INDEX(センサー仕様!$E$4:$E$6,MATCH($E89,センサー仕様!$A$4:$A$6,0)))</f>
        <v>1</v>
      </c>
      <c r="I89" s="9" t="n">
        <f aca="false">IF($E89="なし",0,INDEX(センサー仕様!$F$4:$F$6,MATCH($E89,センサー仕様!$A$4:$A$6,0)))</f>
        <v>4</v>
      </c>
    </row>
    <row r="90" customFormat="false" ht="15" hidden="false" customHeight="false" outlineLevel="0" collapsed="false">
      <c r="A90" s="10" t="s">
        <v>108</v>
      </c>
      <c r="B90" s="11" t="s">
        <v>95</v>
      </c>
      <c r="C90" s="12" t="n">
        <v>43485.6</v>
      </c>
      <c r="D90" s="12" t="n">
        <v>4500.1</v>
      </c>
      <c r="E90" s="13" t="s">
        <v>13</v>
      </c>
      <c r="F90" s="14" t="n">
        <f aca="false">IF($E90="なし",0,INDEX(センサー仕様!$C$4:$C$6,MATCH($E90,センサー仕様!$A$4:$A$6,0)))</f>
        <v>40</v>
      </c>
      <c r="G90" s="14" t="n">
        <f aca="false">IF($E90="なし",0,INDEX(センサー仕様!$D$4:$D$6,MATCH($E90,センサー仕様!$A$4:$A$6,0)))</f>
        <v>4.5</v>
      </c>
      <c r="H90" s="14" t="n">
        <f aca="false">IF($E90="なし",0,INDEX(センサー仕様!$E$4:$E$6,MATCH($E90,センサー仕様!$A$4:$A$6,0)))</f>
        <v>1</v>
      </c>
      <c r="I90" s="14" t="n">
        <f aca="false">IF($E90="なし",0,INDEX(センサー仕様!$F$4:$F$6,MATCH($E90,センサー仕様!$A$4:$A$6,0)))</f>
        <v>4</v>
      </c>
    </row>
    <row r="91" customFormat="false" ht="15" hidden="false" customHeight="false" outlineLevel="0" collapsed="false">
      <c r="A91" s="16" t="s">
        <v>109</v>
      </c>
      <c r="E91" s="17" t="str">
        <f aca="false">COUNTIF(E5:E90,"&lt;&gt;なし")&amp;" 台"</f>
        <v>85 台</v>
      </c>
      <c r="F91" s="17" t="n">
        <f aca="false">SUM(F5:F90)</f>
        <v>6160</v>
      </c>
    </row>
  </sheetData>
  <autoFilter ref="A4:I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9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1" min="10" style="0" width="9"/>
    <col collapsed="false" customWidth="true" hidden="false" outlineLevel="0" max="13" min="12" style="0" width="15"/>
    <col collapsed="false" customWidth="true" hidden="false" outlineLevel="0" max="14" min="14" style="0" width="9"/>
    <col collapsed="false" customWidth="true" hidden="false" outlineLevel="0" max="15" min="15" style="0" width="10"/>
  </cols>
  <sheetData>
    <row r="1" customFormat="false" ht="17.35" hidden="false" customHeight="false" outlineLevel="0" collapsed="false">
      <c r="A1" s="1" t="s">
        <v>110</v>
      </c>
    </row>
    <row r="3" customFormat="false" ht="25.35" hidden="false" customHeight="false" outlineLevel="0" collapsed="false">
      <c r="A3" s="3" t="s">
        <v>3</v>
      </c>
      <c r="B3" s="4" t="s">
        <v>22</v>
      </c>
      <c r="C3" s="4" t="s">
        <v>17</v>
      </c>
      <c r="D3" s="4" t="s">
        <v>13</v>
      </c>
      <c r="E3" s="3" t="s">
        <v>7</v>
      </c>
      <c r="F3" s="4" t="s">
        <v>111</v>
      </c>
      <c r="G3" s="4" t="s">
        <v>112</v>
      </c>
      <c r="H3" s="4" t="s">
        <v>113</v>
      </c>
      <c r="I3" s="4" t="s">
        <v>114</v>
      </c>
      <c r="J3" s="4" t="s">
        <v>115</v>
      </c>
      <c r="K3" s="4" t="s">
        <v>116</v>
      </c>
      <c r="L3" s="3" t="s">
        <v>117</v>
      </c>
      <c r="M3" s="3" t="s">
        <v>118</v>
      </c>
      <c r="N3" s="3" t="s">
        <v>119</v>
      </c>
      <c r="O3" s="3" t="s">
        <v>120</v>
      </c>
    </row>
    <row r="4" customFormat="false" ht="15" hidden="false" customHeight="false" outlineLevel="0" collapsed="false">
      <c r="A4" s="6" t="s">
        <v>12</v>
      </c>
      <c r="B4" s="9" t="n">
        <f aca="false">COUNTIFS(配置一覧!$B$5:$B$90,$A4,配置一覧!$E$5:$E$90,"ALPHA")</f>
        <v>1</v>
      </c>
      <c r="C4" s="9" t="n">
        <f aca="false">COUNTIFS(配置一覧!$B$5:$B$90,$A4,配置一覧!$E$5:$E$90,"BETA")</f>
        <v>4</v>
      </c>
      <c r="D4" s="9" t="n">
        <f aca="false">COUNTIFS(配置一覧!$B$5:$B$90,$A4,配置一覧!$E$5:$E$90,"GAMMA")</f>
        <v>5</v>
      </c>
      <c r="E4" s="9" t="n">
        <f aca="false">SUMIFS(配置一覧!$F$5:$F$90,配置一覧!$B$5:$B$90,$A4)</f>
        <v>900</v>
      </c>
      <c r="F4" s="9" t="n">
        <f aca="false">SUMIFS(配置一覧!$H$5:$H$90,配置一覧!$B$5:$B$90,$A4)</f>
        <v>18</v>
      </c>
      <c r="G4" s="8" t="n">
        <v>18</v>
      </c>
      <c r="H4" s="9" t="str">
        <f aca="false">IF(F4&gt;=G4,"OK","不足")</f>
        <v>OK</v>
      </c>
      <c r="I4" s="9" t="n">
        <f aca="false">SUMIFS(配置一覧!$I$5:$I$90,配置一覧!$B$5:$B$90,$A4)</f>
        <v>29</v>
      </c>
      <c r="J4" s="8" t="n">
        <v>20</v>
      </c>
      <c r="K4" s="9" t="str">
        <f aca="false">IF(I4&gt;=J4,"OK","不足")</f>
        <v>OK</v>
      </c>
      <c r="L4" s="18" t="n">
        <v>0.996</v>
      </c>
      <c r="M4" s="18" t="n">
        <v>0.996</v>
      </c>
      <c r="N4" s="18" t="n">
        <v>0.85</v>
      </c>
      <c r="O4" s="9" t="str">
        <f aca="false">IF(MIN(L4,M4)&gt;=N4,"OK","不足")</f>
        <v>OK</v>
      </c>
    </row>
    <row r="5" customFormat="false" ht="15" hidden="false" customHeight="false" outlineLevel="0" collapsed="false">
      <c r="A5" s="11" t="s">
        <v>26</v>
      </c>
      <c r="B5" s="14" t="n">
        <f aca="false">COUNTIFS(配置一覧!$B$5:$B$90,$A5,配置一覧!$E$5:$E$90,"ALPHA")</f>
        <v>3</v>
      </c>
      <c r="C5" s="14" t="n">
        <f aca="false">COUNTIFS(配置一覧!$B$5:$B$90,$A5,配置一覧!$E$5:$E$90,"BETA")</f>
        <v>4</v>
      </c>
      <c r="D5" s="14" t="n">
        <f aca="false">COUNTIFS(配置一覧!$B$5:$B$90,$A5,配置一覧!$E$5:$E$90,"GAMMA")</f>
        <v>2</v>
      </c>
      <c r="E5" s="14" t="n">
        <f aca="false">SUMIFS(配置一覧!$F$5:$F$90,配置一覧!$B$5:$B$90,$A5)</f>
        <v>1380</v>
      </c>
      <c r="F5" s="14" t="n">
        <f aca="false">SUMIFS(配置一覧!$H$5:$H$90,配置一覧!$B$5:$B$90,$A5)</f>
        <v>25</v>
      </c>
      <c r="G5" s="13" t="n">
        <v>25</v>
      </c>
      <c r="H5" s="14" t="str">
        <f aca="false">IF(F5&gt;=G5,"OK","不足")</f>
        <v>OK</v>
      </c>
      <c r="I5" s="14" t="n">
        <f aca="false">SUMIFS(配置一覧!$I$5:$I$90,配置一覧!$B$5:$B$90,$A5)</f>
        <v>19</v>
      </c>
      <c r="J5" s="13" t="n">
        <v>8</v>
      </c>
      <c r="K5" s="14" t="str">
        <f aca="false">IF(I5&gt;=J5,"OK","不足")</f>
        <v>OK</v>
      </c>
      <c r="L5" s="19" t="n">
        <v>1</v>
      </c>
      <c r="M5" s="19" t="n">
        <v>1</v>
      </c>
      <c r="N5" s="19" t="n">
        <v>0.6</v>
      </c>
      <c r="O5" s="14" t="str">
        <f aca="false">IF(MIN(L5,M5)&gt;=N5,"OK","不足")</f>
        <v>OK</v>
      </c>
    </row>
    <row r="6" customFormat="false" ht="15" hidden="false" customHeight="false" outlineLevel="0" collapsed="false">
      <c r="A6" s="6" t="s">
        <v>36</v>
      </c>
      <c r="B6" s="9" t="n">
        <f aca="false">COUNTIFS(配置一覧!$B$5:$B$90,$A6,配置一覧!$E$5:$E$90,"ALPHA")</f>
        <v>0</v>
      </c>
      <c r="C6" s="9" t="n">
        <f aca="false">COUNTIFS(配置一覧!$B$5:$B$90,$A6,配置一覧!$E$5:$E$90,"BETA")</f>
        <v>0</v>
      </c>
      <c r="D6" s="9" t="n">
        <f aca="false">COUNTIFS(配置一覧!$B$5:$B$90,$A6,配置一覧!$E$5:$E$90,"GAMMA")</f>
        <v>10</v>
      </c>
      <c r="E6" s="9" t="n">
        <f aca="false">SUMIFS(配置一覧!$F$5:$F$90,配置一覧!$B$5:$B$90,$A6)</f>
        <v>400</v>
      </c>
      <c r="F6" s="9" t="n">
        <f aca="false">SUMIFS(配置一覧!$H$5:$H$90,配置一覧!$B$5:$B$90,$A6)</f>
        <v>10</v>
      </c>
      <c r="G6" s="8" t="n">
        <v>10</v>
      </c>
      <c r="H6" s="9" t="str">
        <f aca="false">IF(F6&gt;=G6,"OK","不足")</f>
        <v>OK</v>
      </c>
      <c r="I6" s="9" t="n">
        <f aca="false">SUMIFS(配置一覧!$I$5:$I$90,配置一覧!$B$5:$B$90,$A6)</f>
        <v>40</v>
      </c>
      <c r="J6" s="8" t="n">
        <v>15</v>
      </c>
      <c r="K6" s="9" t="str">
        <f aca="false">IF(I6&gt;=J6,"OK","不足")</f>
        <v>OK</v>
      </c>
      <c r="L6" s="18" t="n">
        <v>0.9001</v>
      </c>
      <c r="M6" s="18" t="n">
        <v>0.9001</v>
      </c>
      <c r="N6" s="18" t="n">
        <v>0.9</v>
      </c>
      <c r="O6" s="9" t="str">
        <f aca="false">IF(MIN(L6,M6)&gt;=N6,"OK","不足")</f>
        <v>OK</v>
      </c>
    </row>
    <row r="7" customFormat="false" ht="15" hidden="false" customHeight="false" outlineLevel="0" collapsed="false">
      <c r="A7" s="11" t="s">
        <v>47</v>
      </c>
      <c r="B7" s="14" t="n">
        <f aca="false">COUNTIFS(配置一覧!$B$5:$B$90,$A7,配置一覧!$E$5:$E$90,"ALPHA")</f>
        <v>0</v>
      </c>
      <c r="C7" s="14" t="n">
        <f aca="false">COUNTIFS(配置一覧!$B$5:$B$90,$A7,配置一覧!$E$5:$E$90,"BETA")</f>
        <v>1</v>
      </c>
      <c r="D7" s="14" t="n">
        <f aca="false">COUNTIFS(配置一覧!$B$5:$B$90,$A7,配置一覧!$E$5:$E$90,"GAMMA")</f>
        <v>10</v>
      </c>
      <c r="E7" s="14" t="n">
        <f aca="false">SUMIFS(配置一覧!$F$5:$F$90,配置一覧!$B$5:$B$90,$A7)</f>
        <v>500</v>
      </c>
      <c r="F7" s="14" t="n">
        <f aca="false">SUMIFS(配置一覧!$H$5:$H$90,配置一覧!$B$5:$B$90,$A7)</f>
        <v>12</v>
      </c>
      <c r="G7" s="13" t="n">
        <v>12</v>
      </c>
      <c r="H7" s="14" t="str">
        <f aca="false">IF(F7&gt;=G7,"OK","不足")</f>
        <v>OK</v>
      </c>
      <c r="I7" s="14" t="n">
        <f aca="false">SUMIFS(配置一覧!$I$5:$I$90,配置一覧!$B$5:$B$90,$A7)</f>
        <v>42</v>
      </c>
      <c r="J7" s="13" t="n">
        <v>12</v>
      </c>
      <c r="K7" s="14" t="str">
        <f aca="false">IF(I7&gt;=J7,"OK","不足")</f>
        <v>OK</v>
      </c>
      <c r="L7" s="19" t="n">
        <v>0.9828</v>
      </c>
      <c r="M7" s="19" t="n">
        <v>0.9831</v>
      </c>
      <c r="N7" s="19" t="n">
        <v>0.85</v>
      </c>
      <c r="O7" s="14" t="str">
        <f aca="false">IF(MIN(L7,M7)&gt;=N7,"OK","不足")</f>
        <v>OK</v>
      </c>
    </row>
    <row r="8" customFormat="false" ht="15" hidden="false" customHeight="false" outlineLevel="0" collapsed="false">
      <c r="A8" s="6" t="s">
        <v>59</v>
      </c>
      <c r="B8" s="9" t="n">
        <f aca="false">COUNTIFS(配置一覧!$B$5:$B$90,$A8,配置一覧!$E$5:$E$90,"ALPHA")</f>
        <v>0</v>
      </c>
      <c r="C8" s="9" t="n">
        <f aca="false">COUNTIFS(配置一覧!$B$5:$B$90,$A8,配置一覧!$E$5:$E$90,"BETA")</f>
        <v>9</v>
      </c>
      <c r="D8" s="9" t="n">
        <f aca="false">COUNTIFS(配置一覧!$B$5:$B$90,$A8,配置一覧!$E$5:$E$90,"GAMMA")</f>
        <v>2</v>
      </c>
      <c r="E8" s="9" t="n">
        <f aca="false">SUMIFS(配置一覧!$F$5:$F$90,配置一覧!$B$5:$B$90,$A8)</f>
        <v>980</v>
      </c>
      <c r="F8" s="9" t="n">
        <f aca="false">SUMIFS(配置一覧!$H$5:$H$90,配置一覧!$B$5:$B$90,$A8)</f>
        <v>20</v>
      </c>
      <c r="G8" s="8" t="n">
        <v>20</v>
      </c>
      <c r="H8" s="9" t="str">
        <f aca="false">IF(F8&gt;=G8,"OK","不足")</f>
        <v>OK</v>
      </c>
      <c r="I8" s="9" t="n">
        <f aca="false">SUMIFS(配置一覧!$I$5:$I$90,配置一覧!$B$5:$B$90,$A8)</f>
        <v>26</v>
      </c>
      <c r="J8" s="8" t="n">
        <v>5</v>
      </c>
      <c r="K8" s="9" t="str">
        <f aca="false">IF(I8&gt;=J8,"OK","不足")</f>
        <v>OK</v>
      </c>
      <c r="L8" s="18" t="n">
        <v>1</v>
      </c>
      <c r="M8" s="18" t="n">
        <v>1</v>
      </c>
      <c r="N8" s="18" t="n">
        <v>0.6</v>
      </c>
      <c r="O8" s="9" t="str">
        <f aca="false">IF(MIN(L8,M8)&gt;=N8,"OK","不足")</f>
        <v>OK</v>
      </c>
    </row>
    <row r="9" customFormat="false" ht="15" hidden="false" customHeight="false" outlineLevel="0" collapsed="false">
      <c r="A9" s="11" t="s">
        <v>71</v>
      </c>
      <c r="B9" s="14" t="n">
        <f aca="false">COUNTIFS(配置一覧!$B$5:$B$90,$A9,配置一覧!$E$5:$E$90,"ALPHA")</f>
        <v>2</v>
      </c>
      <c r="C9" s="14" t="n">
        <f aca="false">COUNTIFS(配置一覧!$B$5:$B$90,$A9,配置一覧!$E$5:$E$90,"BETA")</f>
        <v>0</v>
      </c>
      <c r="D9" s="14" t="n">
        <f aca="false">COUNTIFS(配置一覧!$B$5:$B$90,$A9,配置一覧!$E$5:$E$90,"GAMMA")</f>
        <v>7</v>
      </c>
      <c r="E9" s="14" t="n">
        <f aca="false">SUMIFS(配置一覧!$F$5:$F$90,配置一覧!$B$5:$B$90,$A9)</f>
        <v>880</v>
      </c>
      <c r="F9" s="14" t="n">
        <f aca="false">SUMIFS(配置一覧!$H$5:$H$90,配置一覧!$B$5:$B$90,$A9)</f>
        <v>17</v>
      </c>
      <c r="G9" s="13" t="n">
        <v>15</v>
      </c>
      <c r="H9" s="14" t="str">
        <f aca="false">IF(F9&gt;=G9,"OK","不足")</f>
        <v>OK</v>
      </c>
      <c r="I9" s="14" t="n">
        <f aca="false">SUMIFS(配置一覧!$I$5:$I$90,配置一覧!$B$5:$B$90,$A9)</f>
        <v>30</v>
      </c>
      <c r="J9" s="13" t="n">
        <v>30</v>
      </c>
      <c r="K9" s="14" t="str">
        <f aca="false">IF(I9&gt;=J9,"OK","不足")</f>
        <v>OK</v>
      </c>
      <c r="L9" s="19" t="n">
        <v>1</v>
      </c>
      <c r="M9" s="19" t="n">
        <v>1</v>
      </c>
      <c r="N9" s="19" t="n">
        <v>1</v>
      </c>
      <c r="O9" s="14" t="str">
        <f aca="false">IF(MIN(L9,M9)&gt;=N9,"OK","不足")</f>
        <v>OK</v>
      </c>
    </row>
    <row r="10" customFormat="false" ht="15" hidden="false" customHeight="false" outlineLevel="0" collapsed="false">
      <c r="A10" s="6" t="s">
        <v>81</v>
      </c>
      <c r="B10" s="9" t="n">
        <f aca="false">COUNTIFS(配置一覧!$B$5:$B$90,$A10,配置一覧!$E$5:$E$90,"ALPHA")</f>
        <v>0</v>
      </c>
      <c r="C10" s="9" t="n">
        <f aca="false">COUNTIFS(配置一覧!$B$5:$B$90,$A10,配置一覧!$E$5:$E$90,"BETA")</f>
        <v>2</v>
      </c>
      <c r="D10" s="9" t="n">
        <f aca="false">COUNTIFS(配置一覧!$B$5:$B$90,$A10,配置一覧!$E$5:$E$90,"GAMMA")</f>
        <v>11</v>
      </c>
      <c r="E10" s="9" t="n">
        <f aca="false">SUMIFS(配置一覧!$F$5:$F$90,配置一覧!$B$5:$B$90,$A10)</f>
        <v>640</v>
      </c>
      <c r="F10" s="9" t="n">
        <f aca="false">SUMIFS(配置一覧!$H$5:$H$90,配置一覧!$B$5:$B$90,$A10)</f>
        <v>15</v>
      </c>
      <c r="G10" s="8" t="n">
        <v>15</v>
      </c>
      <c r="H10" s="9" t="str">
        <f aca="false">IF(F10&gt;=G10,"OK","不足")</f>
        <v>OK</v>
      </c>
      <c r="I10" s="9" t="n">
        <f aca="false">SUMIFS(配置一覧!$I$5:$I$90,配置一覧!$B$5:$B$90,$A10)</f>
        <v>48</v>
      </c>
      <c r="J10" s="8" t="n">
        <v>4</v>
      </c>
      <c r="K10" s="9" t="str">
        <f aca="false">IF(I10&gt;=J10,"OK","不足")</f>
        <v>OK</v>
      </c>
      <c r="L10" s="18" t="n">
        <v>0.8968</v>
      </c>
      <c r="M10" s="18" t="n">
        <v>0.8966</v>
      </c>
      <c r="N10" s="18" t="n">
        <v>0.65</v>
      </c>
      <c r="O10" s="9" t="str">
        <f aca="false">IF(MIN(L10,M10)&gt;=N10,"OK","不足")</f>
        <v>OK</v>
      </c>
    </row>
    <row r="11" customFormat="false" ht="15" hidden="false" customHeight="false" outlineLevel="0" collapsed="false">
      <c r="A11" s="11" t="s">
        <v>95</v>
      </c>
      <c r="B11" s="14" t="n">
        <f aca="false">COUNTIFS(配置一覧!$B$5:$B$90,$A11,配置一覧!$E$5:$E$90,"ALPHA")</f>
        <v>0</v>
      </c>
      <c r="C11" s="14" t="n">
        <f aca="false">COUNTIFS(配置一覧!$B$5:$B$90,$A11,配置一覧!$E$5:$E$90,"BETA")</f>
        <v>0</v>
      </c>
      <c r="D11" s="14" t="n">
        <f aca="false">COUNTIFS(配置一覧!$B$5:$B$90,$A11,配置一覧!$E$5:$E$90,"GAMMA")</f>
        <v>12</v>
      </c>
      <c r="E11" s="14" t="n">
        <f aca="false">SUMIFS(配置一覧!$F$5:$F$90,配置一覧!$B$5:$B$90,$A11)</f>
        <v>480</v>
      </c>
      <c r="F11" s="14" t="n">
        <f aca="false">SUMIFS(配置一覧!$H$5:$H$90,配置一覧!$B$5:$B$90,$A11)</f>
        <v>12</v>
      </c>
      <c r="G11" s="13" t="n">
        <v>12</v>
      </c>
      <c r="H11" s="14" t="str">
        <f aca="false">IF(F11&gt;=G11,"OK","不足")</f>
        <v>OK</v>
      </c>
      <c r="I11" s="14" t="n">
        <f aca="false">SUMIFS(配置一覧!$I$5:$I$90,配置一覧!$B$5:$B$90,$A11)</f>
        <v>48</v>
      </c>
      <c r="J11" s="13" t="n">
        <v>12</v>
      </c>
      <c r="K11" s="14" t="str">
        <f aca="false">IF(I11&gt;=J11,"OK","不足")</f>
        <v>OK</v>
      </c>
      <c r="L11" s="19" t="n">
        <v>0.7919</v>
      </c>
      <c r="M11" s="19" t="n">
        <v>0.7916</v>
      </c>
      <c r="N11" s="19" t="n">
        <v>0.75</v>
      </c>
      <c r="O11" s="14" t="str">
        <f aca="false">IF(MIN(L11,M11)&gt;=N11,"OK","不足")</f>
        <v>OK</v>
      </c>
    </row>
    <row r="12" customFormat="false" ht="15" hidden="false" customHeight="false" outlineLevel="0" collapsed="false">
      <c r="A12" s="16" t="s">
        <v>109</v>
      </c>
      <c r="B12" s="17" t="n">
        <f aca="false">SUM(B4:B11)</f>
        <v>6</v>
      </c>
      <c r="C12" s="17" t="n">
        <f aca="false">SUM(C4:C11)</f>
        <v>20</v>
      </c>
      <c r="D12" s="17" t="n">
        <f aca="false">SUM(D4:D11)</f>
        <v>59</v>
      </c>
      <c r="E12" s="17" t="n">
        <f aca="false">SUM(E4:E11)</f>
        <v>6160</v>
      </c>
      <c r="F12" s="2" t="str">
        <f aca="false">IF(SUM(E4:E11)=配置一覧!F91,"配置一覧の合計と一致","不一致")</f>
        <v>配置一覧の合計と一致</v>
      </c>
    </row>
    <row r="14" customFormat="false" ht="15" hidden="false" customHeight="false" outlineLevel="0" collapsed="false">
      <c r="A14" s="2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0"/>
  </cols>
  <sheetData>
    <row r="1" customFormat="false" ht="19.4" hidden="false" customHeight="false" outlineLevel="0" collapsed="false">
      <c r="A1" s="1" t="s">
        <v>122</v>
      </c>
    </row>
    <row r="3" customFormat="false" ht="15" hidden="false" customHeight="false" outlineLevel="0" collapsed="false">
      <c r="A3" s="3" t="s">
        <v>123</v>
      </c>
      <c r="B3" s="3" t="s">
        <v>124</v>
      </c>
      <c r="C3" s="3" t="s">
        <v>7</v>
      </c>
      <c r="D3" s="3" t="s">
        <v>8</v>
      </c>
      <c r="E3" s="4" t="s">
        <v>9</v>
      </c>
      <c r="F3" s="4" t="s">
        <v>10</v>
      </c>
    </row>
    <row r="4" customFormat="false" ht="15" hidden="false" customHeight="false" outlineLevel="0" collapsed="false">
      <c r="A4" s="5" t="s">
        <v>22</v>
      </c>
      <c r="B4" s="5" t="s">
        <v>125</v>
      </c>
      <c r="C4" s="8" t="n">
        <v>300</v>
      </c>
      <c r="D4" s="8" t="n">
        <v>18</v>
      </c>
      <c r="E4" s="8" t="n">
        <v>5</v>
      </c>
      <c r="F4" s="8" t="n">
        <v>1</v>
      </c>
    </row>
    <row r="5" customFormat="false" ht="15" hidden="false" customHeight="false" outlineLevel="0" collapsed="false">
      <c r="A5" s="5" t="s">
        <v>17</v>
      </c>
      <c r="B5" s="5" t="s">
        <v>126</v>
      </c>
      <c r="C5" s="8" t="n">
        <v>100</v>
      </c>
      <c r="D5" s="8" t="n">
        <v>10</v>
      </c>
      <c r="E5" s="8" t="n">
        <v>2</v>
      </c>
      <c r="F5" s="8" t="n">
        <v>2</v>
      </c>
    </row>
    <row r="6" customFormat="false" ht="15" hidden="false" customHeight="false" outlineLevel="0" collapsed="false">
      <c r="A6" s="5" t="s">
        <v>13</v>
      </c>
      <c r="B6" s="5" t="s">
        <v>127</v>
      </c>
      <c r="C6" s="8" t="n">
        <v>40</v>
      </c>
      <c r="D6" s="8" t="n">
        <v>4.5</v>
      </c>
      <c r="E6" s="8" t="n">
        <v>1</v>
      </c>
      <c r="F6" s="8" t="n">
        <v>4</v>
      </c>
    </row>
    <row r="8" customFormat="false" ht="15" hidden="false" customHeight="false" outlineLevel="0" collapsed="false">
      <c r="A8" s="20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129</v>
      </c>
    </row>
    <row r="3" customFormat="false" ht="15" hidden="false" customHeight="false" outlineLevel="0" collapsed="false">
      <c r="A3" s="21" t="s">
        <v>130</v>
      </c>
      <c r="B3" s="22" t="s">
        <v>131</v>
      </c>
    </row>
    <row r="4" customFormat="false" ht="15" hidden="false" customHeight="false" outlineLevel="0" collapsed="false">
      <c r="A4" s="21" t="s">
        <v>132</v>
      </c>
      <c r="B4" s="22" t="s">
        <v>133</v>
      </c>
    </row>
    <row r="5" customFormat="false" ht="26.85" hidden="false" customHeight="false" outlineLevel="0" collapsed="false">
      <c r="A5" s="21" t="s">
        <v>134</v>
      </c>
      <c r="B5" s="23" t="s">
        <v>135</v>
      </c>
    </row>
    <row r="6" customFormat="false" ht="15" hidden="false" customHeight="false" outlineLevel="0" collapsed="false">
      <c r="A6" s="21" t="s">
        <v>136</v>
      </c>
      <c r="B6" s="23" t="s">
        <v>137</v>
      </c>
    </row>
    <row r="7" customFormat="false" ht="15" hidden="false" customHeight="false" outlineLevel="0" collapsed="false">
      <c r="A7" s="21" t="s">
        <v>138</v>
      </c>
      <c r="B7" s="22" t="s">
        <v>139</v>
      </c>
    </row>
    <row r="8" customFormat="false" ht="15" hidden="false" customHeight="false" outlineLevel="0" collapsed="false">
      <c r="A8" s="21" t="s">
        <v>140</v>
      </c>
      <c r="B8" s="23" t="s">
        <v>141</v>
      </c>
    </row>
    <row r="9" customFormat="false" ht="26.85" hidden="false" customHeight="false" outlineLevel="0" collapsed="false">
      <c r="A9" s="21" t="s">
        <v>142</v>
      </c>
      <c r="B9" s="23" t="s">
        <v>143</v>
      </c>
    </row>
    <row r="10" customFormat="false" ht="15" hidden="false" customHeight="false" outlineLevel="0" collapsed="false">
      <c r="A10" s="21" t="s">
        <v>144</v>
      </c>
      <c r="B10" s="23" t="s">
        <v>145</v>
      </c>
    </row>
    <row r="11" customFormat="false" ht="26.85" hidden="false" customHeight="false" outlineLevel="0" collapsed="false">
      <c r="A11" s="21" t="s">
        <v>146</v>
      </c>
      <c r="B11" s="23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2026-10-15T04:25:16Z</dcterms:created>
  <dc:creator>openpyxl</dc:creator>
  <dc:description/>
  <dc:language>en-US</dc:language>
  <cp:lastModifiedBy/>
  <dcterms:modified xsi:type="dcterms:W3CDTF">2026-10-15T04:25:16Z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